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ng9\Documents\GitHub\bermuda-killifishes\raw_data\epa-ecotox\"/>
    </mc:Choice>
  </mc:AlternateContent>
  <xr:revisionPtr revIDLastSave="0" documentId="13_ncr:1_{C063EA15-6D28-4B65-A66B-83993506AA5B}" xr6:coauthVersionLast="47" xr6:coauthVersionMax="47" xr10:uidLastSave="{00000000-0000-0000-0000-000000000000}"/>
  <bookViews>
    <workbookView xWindow="-38520" yWindow="-120" windowWidth="38640" windowHeight="21120" activeTab="1" xr2:uid="{7B010A8B-ECF9-4CC9-874F-4F710C82DF35}"/>
  </bookViews>
  <sheets>
    <sheet name="ECOTOX Explore Records" sheetId="1" r:id="rId1"/>
    <sheet name="Sheet1" sheetId="2" r:id="rId2"/>
  </sheets>
  <definedNames>
    <definedName name="_xlnm._FilterDatabase" localSheetId="0" hidden="1">'ECOTOX Explore Records'!$A$1:$J$361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 i="2" l="1" a="1"/>
  <c r="C99" i="2" s="1"/>
  <c r="C82" i="2" a="1"/>
  <c r="C82" i="2" s="1"/>
  <c r="C81" i="2" a="1"/>
  <c r="C81" i="2" s="1"/>
  <c r="C80" i="2" a="1"/>
  <c r="C80" i="2" s="1"/>
  <c r="C76" i="2" a="1"/>
  <c r="C76" i="2" s="1"/>
  <c r="C75" i="2" a="1"/>
  <c r="C75" i="2" s="1"/>
  <c r="C67" i="2" a="1"/>
  <c r="C67" i="2" s="1"/>
  <c r="C65" i="2" a="1"/>
  <c r="C65" i="2" s="1"/>
  <c r="C44" i="2" a="1"/>
  <c r="C44" i="2" s="1"/>
  <c r="C47" i="2" a="1"/>
  <c r="C47" i="2" s="1"/>
  <c r="C40" i="2" a="1"/>
  <c r="C40" i="2" s="1"/>
  <c r="C13" i="2" a="1"/>
  <c r="C13" i="2" s="1"/>
  <c r="C4" i="2" a="1"/>
  <c r="C4" i="2" s="1"/>
  <c r="C2" i="2" a="1"/>
  <c r="C2" i="2" s="1"/>
  <c r="M1" i="1" a="1"/>
  <c r="M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<sst xmlns="http://schemas.openxmlformats.org/spreadsheetml/2006/main" count="2623" uniqueCount="262">
  <si>
    <t>CAS Number</t>
  </si>
  <si>
    <t>Chemical Name</t>
  </si>
  <si>
    <t>Species Common Name</t>
  </si>
  <si>
    <t>Effect</t>
  </si>
  <si>
    <t>Effect Measurement</t>
  </si>
  <si>
    <t>Endpoint</t>
  </si>
  <si>
    <t>Year</t>
  </si>
  <si>
    <t>Records</t>
  </si>
  <si>
    <t>Citation</t>
  </si>
  <si>
    <t>Methylmercury chloride</t>
  </si>
  <si>
    <t>Mummichog</t>
  </si>
  <si>
    <t>Reproduction</t>
  </si>
  <si>
    <t>Reproduction, general</t>
  </si>
  <si>
    <t>NR</t>
  </si>
  <si>
    <t>Khan,A.T., and J.S. Weis (1987). Effect of Methylmercury on Egg and Juvenile Viability in Two Populations of Killifish Fundulus heteroclitus. Environ. Res., 44, 272-278. doi:10.1016/S0013-9351(87)80236-0. ECOREF#:5602</t>
  </si>
  <si>
    <t>Fertility</t>
  </si>
  <si>
    <t>NOEC</t>
  </si>
  <si>
    <t>Matta,M.B., J. Linse, C. Cairncross, L. Francendese, and R.M. Kocan (2001). Reproductive and Transgenerational Effects of Methylmercury or Aroclor 1268 on Fundulus heteroclitus. Environ. Toxicol. Chem., 20, (2), 327-335. doi:10.1002/etc.5620200213. ECOREF#:56679</t>
  </si>
  <si>
    <t>Fecundity</t>
  </si>
  <si>
    <t>Physiology</t>
  </si>
  <si>
    <t>Sodium uptake</t>
  </si>
  <si>
    <t>Renfro,J.L., B. Schmidt-Nielsen, D. Miller, D. Benos, and J. Allen (1974). Methyl Mercury and Inorganic Mercury:  Uptake, Distribution, and Effect on Osmoregulatory Mechanisms in Fishes. In: F.J.Vernberg and W.B.Vernberg (Eds.), Pollution and Physiology of Mar.Organisms, Acad.Press, NY, 101-122. ECOREF#:8685</t>
  </si>
  <si>
    <t>Physiology, general</t>
  </si>
  <si>
    <t>Khan,A.T., and J.S. Weis (1993). Differential Effects of Organic and Inorganic Mercury on the Micropyle of the Eggs of Fundulus heteroclitus. Environ. Biol. Fishes, 37, (3), 323-327. doi:10.1007/BF00004640. ECOREF#:14008</t>
  </si>
  <si>
    <t>Mortality</t>
  </si>
  <si>
    <t>Survival</t>
  </si>
  <si>
    <t>LOEC</t>
  </si>
  <si>
    <t>Sharp,J.R., and J.M. Neff (1982). The Toxicity of Mercuric Chloride and Methylmercuric Chloride to Fundulus heteroclitus Embryos in Relation to Exposure Conditions. Environ. Biol. Fishes, 7, (3), 277-284. doi:10.1007/BF00002502. ECOREF#:10517</t>
  </si>
  <si>
    <t>Weis,P., and J.S. Weis (1977). Methylmercury Teratogenesis in the Killifish, Fundulus heteroclitus. Teratology, 16, (3), 317-326. doi:10.1002/tera.1420160311. ECOREF#:7712</t>
  </si>
  <si>
    <t>LT50</t>
  </si>
  <si>
    <t>Khan,A.T., and J.S. Weis (1994). Effects of Embryonic Pre-Exposure to Mercury on Larval Tolerance in Two Populations of Killifish (Fundulus heteroclitus). Environ. Sci. (Tokyo), 2, (4), 201-207. ECOREF#:16895</t>
  </si>
  <si>
    <t>Weis,P., and J.S. Weis (1983). Effects of Embryonic Pre-Exposure to Methylmercury and HG2+ on Larval Tolerance in Fundulus heteroclitus. Bull. Environ. Contam. Toxicol., 31(5), 530-534. doi:10.1007/BF01605470. ECOREF#:10136</t>
  </si>
  <si>
    <t>LC50</t>
  </si>
  <si>
    <t>Growth</t>
  </si>
  <si>
    <t>Weight</t>
  </si>
  <si>
    <t>Limb/ body part regeneration</t>
  </si>
  <si>
    <t>Weis,P., and J.S. Weis (1980). Effect of Zinc on Fin Regeneration in the Mummichog Fundulus heteroclitus, and its Interaction with Methylmercury. Fish. Bull., 78, (1), 163-166. ECOREF#:9922</t>
  </si>
  <si>
    <t>Growth, general</t>
  </si>
  <si>
    <t>Weis,J.S., and P. Weis (1995). Effects of Embryonic Exposure to Methylmercury on Larval Prey-Capture Ability in the Mummichog, Fundulus heteroclitus. Environ. Toxicol. Chem., 14, (1), 153-156. ECOREF#:13726</t>
  </si>
  <si>
    <t>Abnormal</t>
  </si>
  <si>
    <t>Weis,J.S., P. Weis, and J.L. Ricci (1981). Effects of Cadmium, Zinc, Salinity, and Temperature on the Teratogenicity of Methylmercury to the Killifish (Fundulus heteroclitus). Rapp. P. V. Reun. Comm. Int. Explor. Sci. Mer Mediterr. (Multiple Languages), 178, 64-70. ECOREF#:11419</t>
  </si>
  <si>
    <t>Feeding behavior</t>
  </si>
  <si>
    <t>Predatory  behavior</t>
  </si>
  <si>
    <t>Zhou,T., R. Scali, P. Weis, and J.S. Weis (1996). Behavioral Effects in Mummichog Larvae (Fundulus heteroclitus) Following Embryonic Exposure to Methylmercury. Mar. Environ. Res., 42, (1-4), 45-49. doi:10.1016/0141-1136(95)00048-8. ECOREF#:18706</t>
  </si>
  <si>
    <t>Behavior</t>
  </si>
  <si>
    <t>Swimming</t>
  </si>
  <si>
    <t>Predator vulnerability</t>
  </si>
  <si>
    <t>Behavioral changes, general</t>
  </si>
  <si>
    <t>Zhou,T., and J.S. Weis (1998). Swimming Behavior and Predator Avoidance in Three Populations of Fundulus heteroclitus Larvae After Embryonic and/or Larval Exposure to Methylmercury. Aquat. Toxicol., 43, (2/3), 131-148. doi:10.1016/S0166-445X(98)00052-6. ECOREF#:19282</t>
  </si>
  <si>
    <t>Accumulation</t>
  </si>
  <si>
    <t>Residue</t>
  </si>
  <si>
    <t>Accumulation, general</t>
  </si>
  <si>
    <t>Sheline,J., and B. Schmidt-Nielsen (1977). Methylmercury-Selenium: Interaction in the Killifish, Fundulus heteroclitus. In: F.J.Vernberg (Ed.), Physiological Responses of Marine Biota to Pollutants, Academic Press, NY, 119-130. ECOREF#:14107</t>
  </si>
  <si>
    <t>Lead acetate (Pb(O2C2H3)2)</t>
  </si>
  <si>
    <t>Jackim,E., J.M. Hamlin, and S. Sonis (1970). Effects of Metal Poisoning on Five Liver Enzymes in the Killifish (Fundulus heteroclitus). J. Fish. Res. Board Can., 27, (2), 383-390. doi:10.1139/f70-043. ECOREF#:9700</t>
  </si>
  <si>
    <t>Enzyme(s)</t>
  </si>
  <si>
    <t>RNase</t>
  </si>
  <si>
    <t>Enzyme activity</t>
  </si>
  <si>
    <t>Ferric ammonium citrate</t>
  </si>
  <si>
    <t>Thomas,A. (1915). Effects of Certain Metallic Salts upon Fishes. Trans. Am. Fish. Soc., 44, (2), 120-124. doi:10.1577/1548-8659(1914)44[120:EOCMSU]2.0.CO;2. ECOREF#:2865</t>
  </si>
  <si>
    <t>Copper chloride (generic)</t>
  </si>
  <si>
    <t>NR-LETH</t>
  </si>
  <si>
    <t>Gardner,G.R., and G. Laroche (1973). Copper Induced Lesions in Estuarine Teleosts. J. Fish. Res. Board Can., 30, (3), 363-368. doi:10.1139/f73-066. ECOREF#:8841</t>
  </si>
  <si>
    <t>Dorfman,D. (1977). Tolerance of Fundulus heteroclitus to Different Metals in Salt Waters. Bull. N. J. Acad. Sci., 22, (2), 21-23. ECOREF#:3731</t>
  </si>
  <si>
    <t>Histology</t>
  </si>
  <si>
    <t>Histological changes, general</t>
  </si>
  <si>
    <t>Development</t>
  </si>
  <si>
    <t>Time to hatch</t>
  </si>
  <si>
    <t>Lead</t>
  </si>
  <si>
    <t>Xanthine oxidase, XOD</t>
  </si>
  <si>
    <t>Jackim,E. (1974). Enzyme Responses to Metals in Fish. In: F.J.Vernberg and W.B.Vernberg (Eds.), Pollution and Physiology of Marine Organisms, Academic Press, London, 59-65. ECOREF#:19746</t>
  </si>
  <si>
    <t>Sodium potassium ATPase</t>
  </si>
  <si>
    <t>Magnesium adenosine triphosphatase</t>
  </si>
  <si>
    <t>Catalase</t>
  </si>
  <si>
    <t>Alkaline phosphatase</t>
  </si>
  <si>
    <t>Acid phosphatase</t>
  </si>
  <si>
    <t>Mercury</t>
  </si>
  <si>
    <t>Khan,A.T. (1987). Effects of Mercury on Fertilization Success of Sperm and Eggs of Two Populations of Killifish, Fundulus heteroclitus. Ph.D.Thesis, Rutgers, The State University of New Jersey, New Brunswick, NJ, 131 p. ECOREF#:17328</t>
  </si>
  <si>
    <t>Cell(s)</t>
  </si>
  <si>
    <t>Cell changes</t>
  </si>
  <si>
    <t>Koepp,S.J., and N.C. Dorato (1978). Fine Structure of the Fish Chloride Cell Associated with Both Acute and Chronic Exposure to Mercury. In: Proc. of the 9th Internat. Congr. Electron Microscopy, Toronto, Canada, 452-453. ECOREF#:8378</t>
  </si>
  <si>
    <t>Weis,P. (1984). Metallothionein and Mercury Tolerance in the Killifish, Fundulus heteroclitus. Mar. Environ. Res., 14, (1-4), 153-166. doi:10.1016/0141-1136(84)90076-X. ECOREF#:11357</t>
  </si>
  <si>
    <t>Cadmium</t>
  </si>
  <si>
    <t>Weis,P., and J.S. Weis (1986). Cadmium Acclimation and Hormesis in Fundulus heteroclitus During Fin Regeneration. Environ. Res., 39, 356-363. doi:10.1016/S0013-9351(86)80061-5. ECOREF#:11420</t>
  </si>
  <si>
    <t>Biochemistry</t>
  </si>
  <si>
    <t>Metallothionein</t>
  </si>
  <si>
    <t>Van den Hurk,P., M. Faisal, and M.H.,Jr. Roberts (2000). Interactive Effects of Cadmium and Benzo(a)pyrene on Metallothionein Induction in Mummichog (Fundulus heteroclitus). Mar. Environ. Res., 50, 83-87. doi:10.1016/S0141-1136(00)00098-2. ECOREF#:56643</t>
  </si>
  <si>
    <t>Temperature tolerance</t>
  </si>
  <si>
    <t>McKenney,C.L.J., and J.M. Dean (1974). Effects of Acute Exposure to Sublethal Concentrations of Cadmium on the Thermal Resistance of the Mummichog. In: J.W.Gibbons and R.R.Sharitz (Eds.), Proc.Symp.Thermal Ecology, Augusta, GA:43-53 (U.S.NTIS CONF-730505), ECOREF#:8396</t>
  </si>
  <si>
    <t>Eisler,R. (1974). Radiocadmium Exchange with Seawater by Fundulus heteroclitus (L.) (Pisces: Cyprinodontidae). J. Fish Biol., 6, 601-612. doi:10.1111/j.1095-8649.1974.tb05103.x. ECOREF#:14337</t>
  </si>
  <si>
    <t>BCF</t>
  </si>
  <si>
    <t>Kuroshima,R. (1992). Cadmium Accumulation in the Mummichog, Fundulus heteroclitus, Adapted to Various Salinities. Bull. Environ. Contam. Toxicol., 49, (5), 680-685. doi:10.1007/BF00200780. ECOREF#:5787</t>
  </si>
  <si>
    <t>Chromium</t>
  </si>
  <si>
    <t>Genetics</t>
  </si>
  <si>
    <t>Messenger RNA</t>
  </si>
  <si>
    <t>Maples,N.L., and L.J. Bain (2004). Trivalent Chromium Alters Gene Expression in the Mummichog (Fundulus heteroclitus). Environ. Toxicol. Chem., 23, (3), 626-631. doi:10.1897/03-130. ECOREF#:90284</t>
  </si>
  <si>
    <t>G6A11 mRNA</t>
  </si>
  <si>
    <t>Fatty acid binding protein 5 mRNA</t>
  </si>
  <si>
    <t>Eukaryotic initiation factor 2B mRNA</t>
  </si>
  <si>
    <t>Cytochrome P4502N2 mRNA</t>
  </si>
  <si>
    <t>Complementary DNA (cDNA)</t>
  </si>
  <si>
    <t>Copper</t>
  </si>
  <si>
    <t>Flux, across membranes</t>
  </si>
  <si>
    <t>Blanchard,J., and M. Grosell (2006). Copper Toxicity Across Salinities from Freshwater to Seawater in the Euryhaline Fish Fundulus heteroclitus:  Is Copper an Ionoregulatory Toxicant in High Salinities?. Aquat. Toxicol., 80, (2), 131-139. doi:10.1016/j.aquatox.2006.08.001. ECOREF#:89744</t>
  </si>
  <si>
    <t>Sodium content</t>
  </si>
  <si>
    <t>General biochemical effect</t>
  </si>
  <si>
    <t>Chloride</t>
  </si>
  <si>
    <t>Blanchard,J., and M. Grosell (2005). Effects of Salinity on Copper Accumulation in the Common Killifish (Fundulus heteroclitus). Environ. Toxicol. Chem., 24, (6), 1403-1413. doi:10.1897/04-373R.1. ECOREF#:108070</t>
  </si>
  <si>
    <t>Blanchard,J., K. Brix, and M. Grosell (2009). Subcellular Fractionation of Cu Exposed Oysters, Crassostrea virginica, and Cu Accumulation from a Biologically Incorporated Cu Rich Oyster Diet in Fundulus heteroclitus in Fresh and Sea Water. Comp. Biochem. Physiol. C Comp. Pharmacol. Toxicol., 149, (4), 531-537. doi:10.1016/j.cbpc.2008.12.001. ECOREF#:115950</t>
  </si>
  <si>
    <t>LOEL</t>
  </si>
  <si>
    <t>Ortiz,J.B., M.L. Gonzalez de Canales, and C. Sarasquete (1999). Quantification and Histopathological Alterations Produced by Sublethal Concentrations of Copper in Fundulus heteroclitus(Cuantificacion y Alteraciones Histopatologicas Producidas por Concentraciones Subletales de Cobre . Cienc. Mar., 25, (1), 119-143. doi:10.7773/cm.v25i1.644. ECOREF#:117476</t>
  </si>
  <si>
    <t>Aluminum chloride</t>
  </si>
  <si>
    <t>Cupric chloride</t>
  </si>
  <si>
    <t>Gardner,G.R. (1975). Chemically Induced Lesions in Estuarine or Marine Teleosts. In: W.E.Ribelin and G.Migaki (Eds.), Pathology of Fishes, Univ.of WI Press, Madison, WI, 657-693. ECOREF#:15562</t>
  </si>
  <si>
    <t>Laroche,G., G.R. Gardner, R. Eisler, E.H. Jackim, P.P. Yevish, and G.E. Zaroogian (1973). Analysis of Toxic Response in Marine Poikilotherms. In: G.E.Glass (Ed.), Bioassay Techniques and Environmental Chemistry, Ann Arbor, MI, 199-216. ECOREF#:8849</t>
  </si>
  <si>
    <t>Jackim,E. (1973). Influence of Lead and Other Metals on Fish Delta-Aminolevulinate Dehydrase Activity. J. Fish. Res. Board Can., 30, (4), 560-562. doi:10.1139/f73-096. ECOREF#:8868</t>
  </si>
  <si>
    <t>Eisler,R., and G.R. Gardner (1973). Acute Toxicology to an Estuarine Teleost of Mixtures of Cadmium, Copper and Zinc Salts. J. Fish Biol., 5, (2), 131-142. doi:10.1111/j.1095-8649.1973.tb04441.x. ECOREF#:8342</t>
  </si>
  <si>
    <t>Mercuric chloride</t>
  </si>
  <si>
    <t>Khan,A.T., and J.S. Weis (1987). Effect of Mercuric Chloride on Eggs and Juvenile Viability in Two Populations of Killifish. Mar. Pollut. Bull., 18, (9), 504-505. doi:10.1016/0025-326X(87)90362-6. ECOREF#:8494</t>
  </si>
  <si>
    <t>Khan,A.T., and J.S. Weis (1987). Toxic Effects of Mercuric Chloride on Sperm and Egg Viability of Two Populations of Mummichog, Fundulus heteroclitus. Environ. Pollut., 48, 263-273. doi:10.1016/0269-7491(87)90107-2. ECOREF#:5655</t>
  </si>
  <si>
    <t>Weis,J.S., and P. Weis (1977). Effects of Heavy Metals on Development of the Killifish, Fundulus heterclitus. J. Fish Biol., 11, (1), 49-54. doi:10.1111/j.1095-8649.1977.tb04097.x. ECOREF#:45298</t>
  </si>
  <si>
    <t>Toppin,S.R.V. (1985). Factors and Mechanisms Affecting the Toxicity of Mercury to the Killifish, Fundulus heteroclitus. Ph.D.Thesis, Rutgers University, Newark, NJ, 135 p. ECOREF#:4250</t>
  </si>
  <si>
    <t>Sharp,J.R., and J.M. Neff (1980). Effects of the Duration of Exposure to Mercuric Chloride on the Embryogenesis of the Estuarine Teleost, Fundulus heteroclitus. Mar. Environ. Res., 3, (3), 195-213. doi:10.1016/0141-1136(80)90027-6. ECOREF#:5634</t>
  </si>
  <si>
    <t>LC50*</t>
  </si>
  <si>
    <t>Klaunig,J., S. Koepp, and M. McCormick (1975). Acute Toxicity of a Native Mummichog Population (Fundulus heteroclitus) to Mercury. Bull. Environ. Contam. Toxicol., 14, (5), 534-536. doi:10.1007/BF01683367. ECOREF#:5515</t>
  </si>
  <si>
    <t>Eisler,R., and R.J. Hennekey (1977). Acute Toxicities of Cd2+, Cr+6, Hg2+, Ni2+ and Zn2+ to Estuarine Macrofauna. Arch. Environ. Contam. Toxicol., 6, (2-3), 315-323. doi:10.1007/BF02097772. ECOREF#:2253</t>
  </si>
  <si>
    <t>Hatch</t>
  </si>
  <si>
    <t>EC50*</t>
  </si>
  <si>
    <t>Morphology</t>
  </si>
  <si>
    <t>Normal</t>
  </si>
  <si>
    <t>Koepp,S.J., and N.C. Dorato (1979). Cytopathologic Response of the Chloride Cell of an Estuarine Fish (Fundulus heteroclitus) Associated with Both Acute and Chronic Exposure to Mercury. Manage.Control Heavy Met.Environ.Int.Conf, 148-151. ECOREF#:8379</t>
  </si>
  <si>
    <t>Weis,J.S., and A.A. Khan (1990). Effects of Mercury on the Feeding Behavior of the Mummichog, Fundulus heteroclitus from a Polluted Habitat. Mar. Environ. Res., 30, (4), 243-249. doi:10.1016/0141-1136(90)90001-5. ECOREF#:7644</t>
  </si>
  <si>
    <t>Deformation</t>
  </si>
  <si>
    <t>Cobalt carbonate</t>
  </si>
  <si>
    <t>Sodium arsenate</t>
  </si>
  <si>
    <t>NR-ZERO</t>
  </si>
  <si>
    <t>Bears,H., J.G. Richards, and P.M. Schulte (2006). Arsenic Exposure Alters Hepatic Arsenic Species Composition and Stress-Mediated Gene Expression in the Common Killifish (Fundulus heteroclitus). Aquat. Toxicol., 77, (3), 257-266. doi:10.1016/j.aquatox.2005.12.008. ECOREF#:93752</t>
  </si>
  <si>
    <t>Hormone(s)</t>
  </si>
  <si>
    <t>Cortisol</t>
  </si>
  <si>
    <t>Phosphoenolpyruvate carboxykinase 1 mRNA</t>
  </si>
  <si>
    <t>Lactate Dehydrogenase B mRNA</t>
  </si>
  <si>
    <t>Glucocorticoid receptor mRNA</t>
  </si>
  <si>
    <t>Food consumption</t>
  </si>
  <si>
    <t>Phosphoenolpyruvic acid</t>
  </si>
  <si>
    <t>Lactate dehydrogenase</t>
  </si>
  <si>
    <t>Hematocrit (anemia)</t>
  </si>
  <si>
    <t>Cobalt chloride</t>
  </si>
  <si>
    <t>Zinc chloride</t>
  </si>
  <si>
    <t>Oxygen consumption</t>
  </si>
  <si>
    <t>Sauer,G.R. (1987). The Effect of Cadmium and Zinc on Calcium Uptake and Scale Regeneration in Fundulus heteroclitus. In: W.A.Vernberg, A.Calabrese, F.P.Thurberg, and F.J.Vernberg (Eds.), Pollution of Estuarine Organisms, Univ.of SC Press, Columbia, SC, 373-399. ECOREF#:4904</t>
  </si>
  <si>
    <t>Bielmyer,G.K., J.B. Bullington, C.A. Decarlo, S.J. Chalk, and K. Smith (2012). The Effects of Salinity on Acute Toxicity of Zinc to Two Euryhaline Species of Fish, Fundulus heteroclitus and Kryptolebias marmoratus. Integr. Comp. Biol., 52, (6), 753-760. doi:10.1093/icb/ics045. ECOREF#:193805</t>
  </si>
  <si>
    <t>Burton,D.T., and D.J. Fisher (1990). Acute Toxicity of Cadmium, Copper, Zinc, Ammonia, 3,3'-Dichlorobenzidine, 2,6-Dichloro-4-Nitroaniline, Methylene Chloride, and 2,4,6-Trichlorophenol to Juvenile Grass Shrimp and Killifish. Bull. Environ. Contam. Toxicol., 44, (5), 776-783. doi:10.1007/BF01701802. ECOREF#:3163</t>
  </si>
  <si>
    <t>Cardin,J.A. (1985). Acute Toxicity Data for Zinc and the Saltwater Fish, Fundulus heteroclitus, Menidia menidia and Pseudopleuronectes americanus. Memo to D.J.Hansen, U.S.EPA, Narragansett, RI, 5 p. ECOREF#:79648</t>
  </si>
  <si>
    <t>Eisler,R. (1967). Acute Toxicity of Zinc to the Killfish, Fundulus heteroclitus. Chesapeake Sci., 8, 262-264. doi:10.2307/1350346. ECOREF#:14111</t>
  </si>
  <si>
    <t>Sauer,G.R., and N. Watabe (1989). Ultrastructural and Histochemical Aspects of Zinc Accumulation by Fish Scales. Tissue Cell, 21, (6), 935-943. doi:10.1016/0040-8166(89)90044-X. ECOREF#:137</t>
  </si>
  <si>
    <t>Sauer,G.R., and N. Watabe (1989). Temporal and Metal-Specific Patterns in the Accumulation of Heavy Metals by the Scales of Fundulus heteroclitus. Aquat. Toxicol., 14, (3), 233-248. doi:10.1016/0166-445X(89)90018-0. ECOREF#:3501</t>
  </si>
  <si>
    <t>Sauer,G.R., and N. Watabe (1984). Zinc Uptake and its Effect on Calcification in the Scales of the Mummichog, Fundulus heteroclitus. Aquat. Toxicol., 5, (1), 51-66. doi:10.1016/0166-445X(84)90031-6. ECOREF#:10110</t>
  </si>
  <si>
    <t>Ferric chloride</t>
  </si>
  <si>
    <t>Nickel(II) chloride</t>
  </si>
  <si>
    <t>Zinc sulfate</t>
  </si>
  <si>
    <t>NOEL</t>
  </si>
  <si>
    <t>Guy,C.P., A.E. Pinkney, and M.H. Taylor (2006). Effects of Sediment-Bound Zinc Contamination on Early Life Stages of the Mummichog (Fundulus heteroclitus L.) in the Christina Watershed, Delaware, USA. Environ. Toxicol. Chem., 25, (5), 1305-1311. doi:10.1897/05-249R.1. ECOREF#:101779</t>
  </si>
  <si>
    <t>Lin,H.C., and W.A. Dunson (1993). The Effect of Salinity on the Acute Toxicity of Cadmium to the Tropical, Estuarine, Hermaphroditic Fish, Rivulus marmoratus:  A Comparison of Cd, Cu, and Zn Tolerance with Fundulus heteroclitus. Arch. Environ. Contam. Toxicol., 25, (1), 41-47. doi:10.1007/BF00230709. ECOREF#:6784</t>
  </si>
  <si>
    <t>Copper sulfate (CuSO4)</t>
  </si>
  <si>
    <t>Grosell,M., J. Blanchard, K.V. Brix, and R. Gerdes (2007). Physiology is Pivotal for Interactions Between Salinity and Acute Copper Toxicity to Fish and Invertebrates. Aquat. Toxicol., 84, (2), 162-172. doi:10.1016/j.aquatox.2007.03.026. ECOREF#:105967</t>
  </si>
  <si>
    <t>Bennett,R.O., and J.K. Dooley (1982). Copper Uptake by Two Sympatric Species of Killifish Fundulus heteroclitus (L.)and F. majalis (Walbaum). J. Fish Biol., 21, (4), 381-398. doi:10.1111/j.1095-8649.1982.tb02843.x. ECOREF#:10491</t>
  </si>
  <si>
    <t>Potassium dichromate</t>
  </si>
  <si>
    <t>Mercury sulfate (Hg2(SO4))</t>
  </si>
  <si>
    <t>Aluminum ammonium sulfate</t>
  </si>
  <si>
    <t>Sodium arsenite (NaAsO2)</t>
  </si>
  <si>
    <t>Viability</t>
  </si>
  <si>
    <t>Gonzalez,H. (2007). Differential Gene Expression in Fundulus heteroclitus Due to Arsenic Exposure. Ph.D.Thesis, University of Texas, El Paso, TX, 107 p. ECOREF#:192296</t>
  </si>
  <si>
    <t>Gonzalez,H.O., J.A. Roling, W.S. Baldwin, and L.J. Bain (2006). Physiological Changes and Differential Gene Expression in Mummichogs (Fundulus heteroclitus) Exposed to Arsenic. Aquat. Toxicol., 77, (1), 43-52. doi:10.1016/j.aquatox.2005.10.014. ECOREF#:89733</t>
  </si>
  <si>
    <t>Progeny counts/numbers</t>
  </si>
  <si>
    <t>Gonzalez,H.O., J. Hu, K.M. Gaworecki, J.A. Roling, W.S. Baldwin, J.L. Gardea-Torresdey, and L.J. Bain (2010). Dose-Responsive Gene Expression Changes in Juvenile and Adult Mummichogs (Fundulus heteroclitus) After Arsenic Exposure. Mar. Environ. Res., 70, (2), 133-141. doi:10.1016/j.marenvres.2010.04.003. ECOREF#:151954</t>
  </si>
  <si>
    <t>D'Amico,A.R., A.W. Gibson, and L.J. Bain (2014). Embryonic Arsenic Exposure Reduces the Number of Muscle Fibers in Killifish (Fundulus heteroclitus). Aquat. Toxicol., 146, 196-204. doi:10.1016/j.aquatox.2013.11.010. ECOREF#:191802</t>
  </si>
  <si>
    <t>Shaw,J.R., K. Gabor, E. Hand, A. Lankowski, L. Durant, R. Thibodeau, C.R. Stanton, R. Barnaby, B. Coutermarsh, K.H. Kar (2007). Role of Glucocorticoid Receptor in Acclimation of Killifish (Fundulus heteroclitus) to Seawater and Effects of Arsenic. Am. J. Physiol., Regul. Integr. Comp. Physiol., 292, (2), R1052 - R1060. doi:10.1152/ajpregu.00328.2006. ECOREF#:101073</t>
  </si>
  <si>
    <t>LC10</t>
  </si>
  <si>
    <t>Gaworecki,K.M., R.W. Chapman, M.G. Neely, A.R. D'Amico, and L.J. Bain (2012). Arsenic Exposure to Killifish During Embryogenesis Alters Muscle Development. Toxicol. Sci., 125, (2), 522-531. doi:10.1093/toxsci/kfr302. ECOREF#:191826</t>
  </si>
  <si>
    <t>Quantity</t>
  </si>
  <si>
    <t>Diameter</t>
  </si>
  <si>
    <t>Ultrastructural changes</t>
  </si>
  <si>
    <t>Length</t>
  </si>
  <si>
    <t>Condition index</t>
  </si>
  <si>
    <t>Troponin C2, fast skeletal type, tandem duplicate 2 mRNA</t>
  </si>
  <si>
    <t>Na+ K+ ATPase mRNA</t>
  </si>
  <si>
    <t>Na+ K+ 2Cl- Cotransporter mRNA</t>
  </si>
  <si>
    <t>Myosin regulatory light chain 2 mRNA</t>
  </si>
  <si>
    <t>Myosin heavy chain mRNA</t>
  </si>
  <si>
    <t>Gene expression</t>
  </si>
  <si>
    <t>Fetuin B mRNA</t>
  </si>
  <si>
    <t>F-actin-capping protein subunit beta mRNA</t>
  </si>
  <si>
    <t>Cystic Fibrosis Transmembrane Conductance Regulator mRNA</t>
  </si>
  <si>
    <t>Cyclin D1 mRNA</t>
  </si>
  <si>
    <t>Density</t>
  </si>
  <si>
    <t>Protein content</t>
  </si>
  <si>
    <t>Chlorine concentration</t>
  </si>
  <si>
    <t>Actin</t>
  </si>
  <si>
    <t>Potassium chromate</t>
  </si>
  <si>
    <t>Ammonium metavanadate</t>
  </si>
  <si>
    <t>Aluminum sulfate (Al2(SO4)3)</t>
  </si>
  <si>
    <t>Ferrous ammonium sulfate</t>
  </si>
  <si>
    <t>Lead nitrate</t>
  </si>
  <si>
    <t>Weis,P., and J.S. Weis (1982). Toxicity of Methylmercury, Mercuric Chloride, and Lead in Killifish (Fundulus heteroclitus) from Southampton, New York. Environ. Res., 28, (2), 364-374. doi:10.1016/0013-9351(82)90135-9. ECOREF#:15614</t>
  </si>
  <si>
    <t>Cadmium chloride</t>
  </si>
  <si>
    <t>Middaugh,D.P., and J.M. Dean (1977). Comparative Sensitivity of Eggs, Larvae and Adults of the Estuarine Teleost, Fundulus heteroclitus and Menidia menidia to Cadmium. Bull. Environ. Contam. Toxicol., 17, (6), 645-652. doi:10.1007/BF01685947. ECOREF#:8334</t>
  </si>
  <si>
    <t>Gill,T.S., and A. Epple (1992). Impact of Cadmium on the Mummichog Fundulus heteroclitus and the Role of Calcium in Suppressing Heavy Metal Toxicity. Comp. Biochem. Physiol. C Comp. Pharmacol., 101, (3), 519-523. doi:10.1016/0742-8413(92)90080-Q. ECOREF#:6445</t>
  </si>
  <si>
    <t>Eisler,R. (1971). Cadmium Poisoning in Fundulus heteroclitus (Pisces:  Cyprinodontidae) and Other Marine Organisms. J. Fish. Res. Board Can., 28, (9), 1225-1234. doi:10.1139/f71-188. ECOREF#:9316</t>
  </si>
  <si>
    <t>Upjohn Co. (1989). Acute Toxicity of Selected Compounds in the Upjohn Company's North Haven Facility NPDES Discharge Serial #001 to Juvenile Grass &amp; Shrimp Mummichogs (Final Report) w-Cover Letter. EPA/OTS Doc.#86-890000585, 56 p. ECOREF#:177340</t>
  </si>
  <si>
    <t>Voyer,R.A. (1975). Effect of Dissolved Oxygen Concentration on the Acute Toxicity of Cadmium to the Mummichog, Fundulus heteroclitus (L.), at Various Salinities. Trans. Am. Fish. Soc., 104, (1), 129-134. doi:10.1577/1548-8659(1975)104&lt;129:EODOCO&gt;2.0.CO;2. ECOREF#:6172</t>
  </si>
  <si>
    <t>Voyer,R.A., P.P. Yevich, and C.A. Barszcz (1975). Histological and Toxicological Responses of the Mummichog, Fundulus heteroclitus (L.) to Combinations of Levels of Cadmium and Dissolved Oxygen. Water Res., 9, 1069-1074. doi:10.1016/0043-1354(75)90103-7. ECOREF#:449</t>
  </si>
  <si>
    <t>Metallothionein mRNA</t>
  </si>
  <si>
    <t>Roesijadi,G., S. Rezvankhah, A. Perez-Matus, A. Mitelberg, K. Torruellas, and P.A. Van Veld (2009). Dietary Cadmium and Benzo(a)pyrene Increased Intestinal Metallothionein Expression in the Fish Fundulus heteroclitus. Mar. Environ. Res., 67, (1), 25-30. doi:10.1016/j.marenvres.2008.10.002. ECOREF#:117420</t>
  </si>
  <si>
    <t>Genetics, general</t>
  </si>
  <si>
    <t>Kaplan,L.A.E., K. Van Cleef, I. Wirgin, and J.F. Crivello (1995). A Comparison of RT-PCR and Northern Blot Analysis in Quantifying Metallothionein mRNA Levels in Killifish Exposed to Waterborne Cadmium. Mar. Environ. Res., 39, (1-4), 137-141. doi:10.1016/0141-1136(94)00045-Q. ECOREF#:16908</t>
  </si>
  <si>
    <t>Pruell,R.J., and F.R. Engelhardt (1980). Liver Cadmium Uptake, Catalase Inhibition and Cadmium Thionein Production in the Killifish (Fundulus heteroclitus) Induced by Experimental. Mar. Environ. Res., 3, (2), 101-111. doi:10.1016/0141-1136(80)90019-7. ECOREF#:9880</t>
  </si>
  <si>
    <t>Eisler,R., G.E. Zaroogian, and R.J. Hennekey (1972). Cadmium Uptake by Marine Organisms. J. Fish. Res. Board Can., 29, (9), 1367-1369. doi:10.1139/f72-212. ECOREF#:9100</t>
  </si>
  <si>
    <t>Mercurous chloride</t>
  </si>
  <si>
    <t>Cadmium sulfate (CdSO4)</t>
  </si>
  <si>
    <t>Ferric ammonium sulfate</t>
  </si>
  <si>
    <t>Cadmium nitrate (Cd(NO3)2)</t>
  </si>
  <si>
    <t>Sodium arsenite (unspecified)</t>
  </si>
  <si>
    <t>Szymkowicz,D.B., K.C. Sims, N.M. Castro, W.C. Bridges, and L.J. Bain (2017). Embryonic-Only Arsenic Exposure in Killifish (Fundulus heteroclitus) Reduces Growth and Alters Muscle IGF Levels One Year Later. Aquat. Toxicol., 186, 1-10. doi:10.1016/j.aquatox.2017.02.020. ECOREF#:191819</t>
  </si>
  <si>
    <t>Shaw,J.R., B. Jackson, K. Gabor, S. Stanton, J.W. Hamilton, and B.A. Stanton (2007). The Influence of Exposure History on Arsenic Accumulation and Toxicity in the Killifish, Fundulus heteroclitus. Environ. Toxicol. Chem., 26, (12), 2704-2709. doi:10.1897/07-032.1. ECOREF#:109419</t>
  </si>
  <si>
    <t>LC90</t>
  </si>
  <si>
    <t>Insulin-like growth factor 1 receptor mRNA</t>
  </si>
  <si>
    <t>Insulin-like growth factor 1 mRNA</t>
  </si>
  <si>
    <t>ABC transporter B family member 2 mRNA</t>
  </si>
  <si>
    <t>Feeding behavior, general</t>
  </si>
  <si>
    <t>Methylmercury</t>
  </si>
  <si>
    <t>Khan,A.T., and J.S. Weis (1987). Effects of Methylmercury on Sperm and Egg Viability of Two Populations of Killifish (Fundulus heteroclitus). Arch. Environ. Contam. Toxicol., 16, (4), 499-505. doi:10.1007/BF01055273. ECOREF#:12573</t>
  </si>
  <si>
    <t>Weis,J.S., M. Renna, and S. Vaidya (1987). Mercury Tolerance in Killifish: A Stage-Specific Phenomenon. In: J.M.Capuzzo and D.R.Kester (Eds.), Oceanic Processes Marine Pollution, Biol.Processes and Wastes in the Ocean, Robert E.Krieger Publ.Co., Malabar, FL, 1, 31-36. ECOREF#:4602</t>
  </si>
  <si>
    <t>Weis,J.S., P. Weis, M. Renna, and S. Vaidya (1985). Search for a Physiological Component of Methylmercury Tolerance in the Mummichog, Fundulus heteroclitus. In: F.J.Vernberg, F.Thurberg, A.Calabrese, and W.B.Vernberg (Eds.), Marine Pollution and Physiology: Recent Advances, Univ.South Carolina Press, Columbia,SC, 309-326. ECOREF#:11418</t>
  </si>
  <si>
    <t>Weis,J.S., and P. Weis (1984). A Rapid Change in Methylmercury Tolerance in a Population of Killifish, Fundulus heteroclitus, from a Golf Course Pond. Mar. Environ. Res., 13, (3), 231-245. doi:10.1016/0141-1136(84)90031-X. ECOREF#:10627</t>
  </si>
  <si>
    <t>Zhou,T. (1997). Behavioral Development and Neurobehavioral Effects of Methylmercury on Larval Mummichogs, Fundulus heteroclitus from Polluted and Reference Environments. Ph.D.Thesis, Rutgers, The State University of New Jersey, New Brunswick, NJ, 249 p. ECOREF#:172112</t>
  </si>
  <si>
    <t>Toppin,S.V., M. Heber, J.S. Weis, and P. Weis (1985). Changes in Reproductive Biology and Life History of Fundulus heteroclitus in a Polluted Environment. In: W.B.Vernberg, A.Calabrese, F.P.Thurberg, and F.J.Vernberg (Eds.), Pollution Physiology of Estuarine Organisms, University of South Carolina Press, Columbia, SC, 171-184. ECOREF#:172482</t>
  </si>
  <si>
    <t>Serotonin</t>
  </si>
  <si>
    <t>Dopamine</t>
  </si>
  <si>
    <t>Weis,J., P. Weis, and M. Heber (1982). Variation in Response to Methylmercury by Killifish (Fundulus heteroclitus) Embryos. ASTM Spec. Tech. Publ., 109-119. ECOREF#:11416</t>
  </si>
  <si>
    <t>Perry,D.M., J.S. Weis, and P. Weis (1988). Cytogenetic Effects of Methylmercury in Embryos of the Killifish, Fundulus heteroclitus. Arch. Environ. Contam. Toxicol., 17, (5), 569-574. doi:10.1007/BF01055824. ECOREF#:15247</t>
  </si>
  <si>
    <t>Strikes (number of times food source was hit)</t>
  </si>
  <si>
    <t>Developmental changes, general</t>
  </si>
  <si>
    <t>Weis,J.S., P. Weis, M. Heber, and S. Vaidya (1981). Methylmercury Tolerance of Killifish (Fundulus heteroclitus) Embryos from a Polluted vs Non-Polluted Environment. Mar. Biol. (Multiple Languages), 65, (3), 283-287. doi:10.1007/BF00397123. ECOREF#:4845</t>
  </si>
  <si>
    <t>Multiple measurement terms entered</t>
  </si>
  <si>
    <t>Homovanillic acid</t>
  </si>
  <si>
    <t>5-Hydroxyindole acetic acid</t>
  </si>
  <si>
    <t>3,4-Dihydroxyphenylacetic acid</t>
  </si>
  <si>
    <t>Zhou,T., P. Weis, and J.S. Weis (1998). Mercury Burden in Two Populations of Fundulus heteroclitus After Sublethal Methylmercury Exposure. Aquat. Toxicol., 42, (1), 37-47. doi:10.1016/S0166-445X(97)00101-X. ECOREF#:19151</t>
  </si>
  <si>
    <t>Nickel chloride (Unspecified)</t>
  </si>
  <si>
    <t>Element</t>
  </si>
  <si>
    <t>Paper</t>
  </si>
  <si>
    <t>Aluminum</t>
  </si>
  <si>
    <t>Arsenic</t>
  </si>
  <si>
    <t>Cobalt</t>
  </si>
  <si>
    <t>Iron</t>
  </si>
  <si>
    <t>Molybdenum</t>
  </si>
  <si>
    <t>Nickel</t>
  </si>
  <si>
    <t>Selenium</t>
  </si>
  <si>
    <t>Vanadium</t>
  </si>
  <si>
    <t>Zinc</t>
  </si>
  <si>
    <t>Types</t>
  </si>
  <si>
    <t>Relevant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</si>
</sst>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applyAlignment="1">
      <alignment horizontal="fill"/>
    </xf>
    <xf numFmtId="0" fontId="16" fillId="0" borderId="0" xfId="0" applyFont="1" applyAlignment="1">
      <alignment horizontal="fill"/>
    </xf>
    <xf numFmtId="0" fontId="8" fillId="4" borderId="0" xfId="8" applyAlignment="1">
      <alignment horizontal="fill"/>
    </xf>
    <xf numFmtId="0" fontId="6" fillId="2" borderId="0" xfId="6" applyAlignment="1">
      <alignment horizontal="fill"/>
    </xf>
    <xf numFmtId="0" fontId="7" fillId="3" borderId="0" xfId="7" applyAlignment="1">
      <alignment horizontal="fill"/>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5E34-7596-4FD1-9694-270F302F97FB}">
  <dimension ref="A1:Q361"/>
  <sheetViews>
    <sheetView workbookViewId="0">
      <selection activeCell="J51" sqref="J51"/>
    </sheetView>
  </sheetViews>
  <sheetFormatPr defaultRowHeight="15" x14ac:dyDescent="0.25"/>
  <cols>
    <col min="2" max="2" width="28" bestFit="1" customWidth="1"/>
    <col min="3" max="3" width="28" customWidth="1"/>
    <col min="10" max="10" width="9.140625" style="2"/>
    <col min="13" max="13" width="9.140625" style="2"/>
    <col min="16" max="17" width="28" bestFit="1" customWidth="1"/>
  </cols>
  <sheetData>
    <row r="1" spans="1:13" x14ac:dyDescent="0.25">
      <c r="A1" t="s">
        <v>0</v>
      </c>
      <c r="B1" t="s">
        <v>1</v>
      </c>
      <c r="C1" t="s">
        <v>261</v>
      </c>
      <c r="D1" t="s">
        <v>2</v>
      </c>
      <c r="E1" t="s">
        <v>3</v>
      </c>
      <c r="F1" t="s">
        <v>4</v>
      </c>
      <c r="G1" t="s">
        <v>5</v>
      </c>
      <c r="H1" t="s">
        <v>6</v>
      </c>
      <c r="I1" t="s">
        <v>7</v>
      </c>
      <c r="J1" s="2" t="s">
        <v>8</v>
      </c>
      <c r="M1" s="3" t="str" cm="1">
        <f t="array" ref="M1:M89">_xlfn.UNIQUE(J:J)</f>
        <v>Citation</v>
      </c>
    </row>
    <row r="2" spans="1:13" x14ac:dyDescent="0.25">
      <c r="A2">
        <v>7631892</v>
      </c>
      <c r="B2" t="s">
        <v>134</v>
      </c>
      <c r="C2" t="s">
        <v>252</v>
      </c>
      <c r="D2" t="s">
        <v>10</v>
      </c>
      <c r="E2" t="s">
        <v>24</v>
      </c>
      <c r="F2" t="s">
        <v>24</v>
      </c>
      <c r="G2" t="s">
        <v>135</v>
      </c>
      <c r="H2">
        <v>2006</v>
      </c>
      <c r="I2">
        <v>1</v>
      </c>
      <c r="J2" s="2" t="s">
        <v>136</v>
      </c>
      <c r="M2" s="4" t="str">
        <v>Bears,H., J.G. Richards, and P.M. Schulte (2006). Arsenic Exposure Alters Hepatic Arsenic Species Composition and Stress-Mediated Gene Expression in the Common Killifish (Fundulus heteroclitus). Aquat. Toxicol., 77, (3), 257-266. doi:10.1016/j.aquatox.2005.12.008. ECOREF#:93752</v>
      </c>
    </row>
    <row r="3" spans="1:13" x14ac:dyDescent="0.25">
      <c r="A3">
        <v>7631892</v>
      </c>
      <c r="B3" t="s">
        <v>134</v>
      </c>
      <c r="C3" t="s">
        <v>252</v>
      </c>
      <c r="D3" t="s">
        <v>10</v>
      </c>
      <c r="E3" t="s">
        <v>137</v>
      </c>
      <c r="F3" t="s">
        <v>138</v>
      </c>
      <c r="G3" t="s">
        <v>16</v>
      </c>
      <c r="H3">
        <v>2006</v>
      </c>
      <c r="I3">
        <v>1</v>
      </c>
      <c r="J3" s="2" t="s">
        <v>136</v>
      </c>
      <c r="M3" s="5" t="str">
        <v>Bennett,R.O., and J.K. Dooley (1982). Copper Uptake by Two Sympatric Species of Killifish Fundulus heteroclitus (L.)and F. majalis (Walbaum). J. Fish Biol., 21, (4), 381-398. doi:10.1111/j.1095-8649.1982.tb02843.x. ECOREF#:10491</v>
      </c>
    </row>
    <row r="4" spans="1:13" x14ac:dyDescent="0.25">
      <c r="A4">
        <v>7631892</v>
      </c>
      <c r="B4" t="s">
        <v>134</v>
      </c>
      <c r="C4" t="s">
        <v>252</v>
      </c>
      <c r="D4" t="s">
        <v>10</v>
      </c>
      <c r="E4" t="s">
        <v>33</v>
      </c>
      <c r="F4" t="s">
        <v>34</v>
      </c>
      <c r="G4" t="s">
        <v>13</v>
      </c>
      <c r="H4">
        <v>2006</v>
      </c>
      <c r="I4">
        <v>1</v>
      </c>
      <c r="J4" s="2" t="s">
        <v>136</v>
      </c>
      <c r="M4" s="5" t="str">
        <v>Bielmyer,G.K., J.B. Bullington, C.A. Decarlo, S.J. Chalk, and K. Smith (2012). The Effects of Salinity on Acute Toxicity of Zinc to Two Euryhaline Species of Fish, Fundulus heteroclitus and Kryptolebias marmoratus. Integr. Comp. Biol., 52, (6), 753-760. doi:10.1093/icb/ics045. ECOREF#:193805</v>
      </c>
    </row>
    <row r="5" spans="1:13" x14ac:dyDescent="0.25">
      <c r="A5">
        <v>7631892</v>
      </c>
      <c r="B5" t="s">
        <v>134</v>
      </c>
      <c r="C5" t="s">
        <v>252</v>
      </c>
      <c r="D5" t="s">
        <v>10</v>
      </c>
      <c r="E5" t="s">
        <v>93</v>
      </c>
      <c r="F5" t="s">
        <v>139</v>
      </c>
      <c r="G5" t="s">
        <v>16</v>
      </c>
      <c r="H5">
        <v>2006</v>
      </c>
      <c r="I5">
        <v>1</v>
      </c>
      <c r="J5" s="2" t="s">
        <v>136</v>
      </c>
      <c r="M5" s="5" t="str">
        <v>Blanchard,J., and M. Grosell (2005). Effects of Salinity on Copper Accumulation in the Common Killifish (Fundulus heteroclitus). Environ. Toxicol. Chem., 24, (6), 1403-1413. doi:10.1897/04-373R.1. ECOREF#:108070</v>
      </c>
    </row>
    <row r="6" spans="1:13" x14ac:dyDescent="0.25">
      <c r="A6">
        <v>7631892</v>
      </c>
      <c r="B6" t="s">
        <v>134</v>
      </c>
      <c r="C6" t="s">
        <v>252</v>
      </c>
      <c r="D6" t="s">
        <v>10</v>
      </c>
      <c r="E6" t="s">
        <v>93</v>
      </c>
      <c r="F6" t="s">
        <v>140</v>
      </c>
      <c r="G6" t="s">
        <v>16</v>
      </c>
      <c r="H6">
        <v>2006</v>
      </c>
      <c r="I6">
        <v>1</v>
      </c>
      <c r="J6" s="2" t="s">
        <v>136</v>
      </c>
      <c r="M6" s="5" t="str">
        <v>Blanchard,J., and M. Grosell (2006). Copper Toxicity Across Salinities from Freshwater to Seawater in the Euryhaline Fish Fundulus heteroclitus:  Is Copper an Ionoregulatory Toxicant in High Salinities?. Aquat. Toxicol., 80, (2), 131-139. doi:10.1016/j.aquatox.2006.08.001. ECOREF#:89744</v>
      </c>
    </row>
    <row r="7" spans="1:13" x14ac:dyDescent="0.25">
      <c r="A7">
        <v>7631892</v>
      </c>
      <c r="B7" t="s">
        <v>134</v>
      </c>
      <c r="C7" t="s">
        <v>252</v>
      </c>
      <c r="D7" t="s">
        <v>10</v>
      </c>
      <c r="E7" t="s">
        <v>93</v>
      </c>
      <c r="F7" t="s">
        <v>141</v>
      </c>
      <c r="G7" t="s">
        <v>16</v>
      </c>
      <c r="H7">
        <v>2006</v>
      </c>
      <c r="I7">
        <v>1</v>
      </c>
      <c r="J7" s="2" t="s">
        <v>136</v>
      </c>
      <c r="M7" s="5" t="str">
        <v>Blanchard,J., K. Brix, and M. Grosell (2009). Subcellular Fractionation of Cu Exposed Oysters, Crassostrea virginica, and Cu Accumulation from a Biologically Incorporated Cu Rich Oyster Diet in Fundulus heteroclitus in Fresh and Sea Water. Comp. Biochem. Physiol. C Comp. Pharmacol. Toxicol., 149, (4), 531-537. doi:10.1016/j.cbpc.2008.12.001. ECOREF#:115950</v>
      </c>
    </row>
    <row r="8" spans="1:13" x14ac:dyDescent="0.25">
      <c r="A8">
        <v>7631892</v>
      </c>
      <c r="B8" t="s">
        <v>134</v>
      </c>
      <c r="C8" t="s">
        <v>252</v>
      </c>
      <c r="D8" t="s">
        <v>10</v>
      </c>
      <c r="E8" t="s">
        <v>41</v>
      </c>
      <c r="F8" t="s">
        <v>142</v>
      </c>
      <c r="G8" t="s">
        <v>13</v>
      </c>
      <c r="H8">
        <v>2006</v>
      </c>
      <c r="I8">
        <v>1</v>
      </c>
      <c r="J8" s="2" t="s">
        <v>136</v>
      </c>
      <c r="M8" s="6" t="str">
        <v>Burton,D.T., and D.J. Fisher (1990). Acute Toxicity of Cadmium, Copper, Zinc, Ammonia, 3,3'-Dichlorobenzidine, 2,6-Dichloro-4-Nitroaniline, Methylene Chloride, and 2,4,6-Trichlorophenol to Juvenile Grass Shrimp and Killifish. Bull. Environ. Contam. Toxicol., 44, (5), 776-783. doi:10.1007/BF01701802. ECOREF#:3163</v>
      </c>
    </row>
    <row r="9" spans="1:13" x14ac:dyDescent="0.25">
      <c r="A9">
        <v>7631892</v>
      </c>
      <c r="B9" t="s">
        <v>134</v>
      </c>
      <c r="C9" t="s">
        <v>252</v>
      </c>
      <c r="D9" t="s">
        <v>10</v>
      </c>
      <c r="E9" t="s">
        <v>55</v>
      </c>
      <c r="F9" t="s">
        <v>143</v>
      </c>
      <c r="G9" t="s">
        <v>16</v>
      </c>
      <c r="H9">
        <v>2006</v>
      </c>
      <c r="I9">
        <v>1</v>
      </c>
      <c r="J9" s="2" t="s">
        <v>136</v>
      </c>
      <c r="M9" s="2" t="str">
        <v>Cardin,J.A. (1985). Acute Toxicity Data for Zinc and the Saltwater Fish, Fundulus heteroclitus, Menidia menidia and Pseudopleuronectes americanus. Memo to D.J.Hansen, U.S.EPA, Narragansett, RI, 5 p. ECOREF#:79648</v>
      </c>
    </row>
    <row r="10" spans="1:13" x14ac:dyDescent="0.25">
      <c r="A10">
        <v>7631892</v>
      </c>
      <c r="B10" t="s">
        <v>134</v>
      </c>
      <c r="C10" t="s">
        <v>252</v>
      </c>
      <c r="D10" t="s">
        <v>10</v>
      </c>
      <c r="E10" t="s">
        <v>55</v>
      </c>
      <c r="F10" t="s">
        <v>144</v>
      </c>
      <c r="G10" t="s">
        <v>26</v>
      </c>
      <c r="H10">
        <v>2006</v>
      </c>
      <c r="I10">
        <v>1</v>
      </c>
      <c r="J10" s="2" t="s">
        <v>136</v>
      </c>
      <c r="M10" s="5" t="str">
        <v>D'Amico,A.R., A.W. Gibson, and L.J. Bain (2014). Embryonic Arsenic Exposure Reduces the Number of Muscle Fibers in Killifish (Fundulus heteroclitus). Aquat. Toxicol., 146, 196-204. doi:10.1016/j.aquatox.2013.11.010. ECOREF#:191802</v>
      </c>
    </row>
    <row r="11" spans="1:13" x14ac:dyDescent="0.25">
      <c r="A11">
        <v>7631892</v>
      </c>
      <c r="B11" t="s">
        <v>134</v>
      </c>
      <c r="C11" t="s">
        <v>252</v>
      </c>
      <c r="D11" t="s">
        <v>10</v>
      </c>
      <c r="E11" t="s">
        <v>84</v>
      </c>
      <c r="F11" t="s">
        <v>145</v>
      </c>
      <c r="G11" t="s">
        <v>16</v>
      </c>
      <c r="H11">
        <v>2006</v>
      </c>
      <c r="I11">
        <v>1</v>
      </c>
      <c r="J11" s="2" t="s">
        <v>136</v>
      </c>
      <c r="M11" s="5" t="str">
        <v>Dorfman,D. (1977). Tolerance of Fundulus heteroclitus to Different Metals in Salt Waters. Bull. N. J. Acad. Sci., 22, (2), 21-23. ECOREF#:3731</v>
      </c>
    </row>
    <row r="12" spans="1:13" x14ac:dyDescent="0.25">
      <c r="A12">
        <v>7631892</v>
      </c>
      <c r="B12" t="s">
        <v>134</v>
      </c>
      <c r="C12" t="s">
        <v>252</v>
      </c>
      <c r="D12" t="s">
        <v>10</v>
      </c>
      <c r="E12" t="s">
        <v>49</v>
      </c>
      <c r="F12" t="s">
        <v>50</v>
      </c>
      <c r="G12" t="s">
        <v>26</v>
      </c>
      <c r="H12">
        <v>2006</v>
      </c>
      <c r="I12">
        <v>1</v>
      </c>
      <c r="J12" s="2" t="s">
        <v>136</v>
      </c>
      <c r="M12" s="5" t="str">
        <v>Eisler,R. (1967). Acute Toxicity of Zinc to the Killfish, Fundulus heteroclitus. Chesapeake Sci., 8, 262-264. doi:10.2307/1350346. ECOREF#:14111</v>
      </c>
    </row>
    <row r="13" spans="1:13" x14ac:dyDescent="0.25">
      <c r="A13">
        <v>7758987</v>
      </c>
      <c r="B13" t="s">
        <v>163</v>
      </c>
      <c r="C13" t="s">
        <v>101</v>
      </c>
      <c r="D13" t="s">
        <v>10</v>
      </c>
      <c r="E13" t="s">
        <v>49</v>
      </c>
      <c r="F13" t="s">
        <v>51</v>
      </c>
      <c r="G13" t="s">
        <v>13</v>
      </c>
      <c r="H13">
        <v>1982</v>
      </c>
      <c r="I13">
        <v>1</v>
      </c>
      <c r="J13" s="2" t="s">
        <v>165</v>
      </c>
      <c r="M13" s="5" t="str">
        <v>Eisler,R. (1971). Cadmium Poisoning in Fundulus heteroclitus (Pisces:  Cyprinodontidae) and Other Marine Organisms. J. Fish. Res. Board Can., 28, (9), 1225-1234. doi:10.1139/f71-188. ECOREF#:9316</v>
      </c>
    </row>
    <row r="14" spans="1:13" x14ac:dyDescent="0.25">
      <c r="A14">
        <v>7646857</v>
      </c>
      <c r="B14" t="s">
        <v>147</v>
      </c>
      <c r="C14" t="s">
        <v>259</v>
      </c>
      <c r="D14" t="s">
        <v>10</v>
      </c>
      <c r="E14" t="s">
        <v>24</v>
      </c>
      <c r="F14" t="s">
        <v>24</v>
      </c>
      <c r="G14" t="s">
        <v>32</v>
      </c>
      <c r="H14">
        <v>2012</v>
      </c>
      <c r="I14">
        <v>8</v>
      </c>
      <c r="J14" s="2" t="s">
        <v>150</v>
      </c>
      <c r="M14" s="5" t="str">
        <v>Eisler,R. (1974). Radiocadmium Exchange with Seawater by Fundulus heteroclitus (L.) (Pisces: Cyprinodontidae). J. Fish Biol., 6, 601-612. doi:10.1111/j.1095-8649.1974.tb05103.x. ECOREF#:14337</v>
      </c>
    </row>
    <row r="15" spans="1:13" x14ac:dyDescent="0.25">
      <c r="A15">
        <v>7440508</v>
      </c>
      <c r="B15" t="s">
        <v>101</v>
      </c>
      <c r="C15" t="s">
        <v>101</v>
      </c>
      <c r="D15" t="s">
        <v>10</v>
      </c>
      <c r="E15" t="s">
        <v>49</v>
      </c>
      <c r="F15" t="s">
        <v>50</v>
      </c>
      <c r="G15" t="s">
        <v>13</v>
      </c>
      <c r="H15">
        <v>2005</v>
      </c>
      <c r="I15">
        <v>13</v>
      </c>
      <c r="J15" s="2" t="s">
        <v>107</v>
      </c>
      <c r="M15" s="5" t="str">
        <v>Eisler,R., and G.R. Gardner (1973). Acute Toxicology to an Estuarine Teleost of Mixtures of Cadmium, Copper and Zinc Salts. J. Fish Biol., 5, (2), 131-142. doi:10.1111/j.1095-8649.1973.tb04441.x. ECOREF#:8342</v>
      </c>
    </row>
    <row r="16" spans="1:13" x14ac:dyDescent="0.25">
      <c r="A16">
        <v>7440508</v>
      </c>
      <c r="B16" t="s">
        <v>101</v>
      </c>
      <c r="C16" t="s">
        <v>101</v>
      </c>
      <c r="D16" t="s">
        <v>10</v>
      </c>
      <c r="E16" t="s">
        <v>49</v>
      </c>
      <c r="F16" t="s">
        <v>50</v>
      </c>
      <c r="G16" t="s">
        <v>16</v>
      </c>
      <c r="H16">
        <v>2005</v>
      </c>
      <c r="I16">
        <v>172</v>
      </c>
      <c r="J16" s="2" t="s">
        <v>107</v>
      </c>
      <c r="M16" s="5" t="str">
        <v>Eisler,R., and R.J. Hennekey (1977). Acute Toxicities of Cd2+, Cr+6, Hg2+, Ni2+ and Zn2+ to Estuarine Macrofauna. Arch. Environ. Contam. Toxicol., 6, (2-3), 315-323. doi:10.1007/BF02097772. ECOREF#:2253</v>
      </c>
    </row>
    <row r="17" spans="1:13" x14ac:dyDescent="0.25">
      <c r="A17">
        <v>7440508</v>
      </c>
      <c r="B17" t="s">
        <v>101</v>
      </c>
      <c r="C17" t="s">
        <v>101</v>
      </c>
      <c r="D17" t="s">
        <v>10</v>
      </c>
      <c r="E17" t="s">
        <v>49</v>
      </c>
      <c r="F17" t="s">
        <v>50</v>
      </c>
      <c r="G17" t="s">
        <v>26</v>
      </c>
      <c r="H17">
        <v>2005</v>
      </c>
      <c r="I17">
        <v>29</v>
      </c>
      <c r="J17" s="2" t="s">
        <v>107</v>
      </c>
      <c r="M17" s="5" t="str">
        <v>Eisler,R., G.E. Zaroogian, and R.J. Hennekey (1972). Cadmium Uptake by Marine Organisms. J. Fish. Res. Board Can., 29, (9), 1367-1369. doi:10.1139/f72-212. ECOREF#:9100</v>
      </c>
    </row>
    <row r="18" spans="1:13" x14ac:dyDescent="0.25">
      <c r="A18">
        <v>7440508</v>
      </c>
      <c r="B18" t="s">
        <v>101</v>
      </c>
      <c r="C18" t="s">
        <v>101</v>
      </c>
      <c r="D18" t="s">
        <v>10</v>
      </c>
      <c r="E18" t="s">
        <v>19</v>
      </c>
      <c r="F18" t="s">
        <v>102</v>
      </c>
      <c r="G18" t="s">
        <v>16</v>
      </c>
      <c r="H18">
        <v>2006</v>
      </c>
      <c r="I18">
        <v>2</v>
      </c>
      <c r="J18" s="2" t="s">
        <v>103</v>
      </c>
      <c r="M18" s="5" t="str">
        <v>Gardner,G.R. (1975). Chemically Induced Lesions in Estuarine or Marine Teleosts. In: W.E.Ribelin and G.Migaki (Eds.), Pathology of Fishes, Univ.of WI Press, Madison, WI, 657-693. ECOREF#:15562</v>
      </c>
    </row>
    <row r="19" spans="1:13" x14ac:dyDescent="0.25">
      <c r="A19">
        <v>7440508</v>
      </c>
      <c r="B19" t="s">
        <v>101</v>
      </c>
      <c r="C19" t="s">
        <v>101</v>
      </c>
      <c r="D19" t="s">
        <v>10</v>
      </c>
      <c r="E19" t="s">
        <v>19</v>
      </c>
      <c r="F19" t="s">
        <v>102</v>
      </c>
      <c r="G19" t="s">
        <v>26</v>
      </c>
      <c r="H19">
        <v>2006</v>
      </c>
      <c r="I19">
        <v>3</v>
      </c>
      <c r="J19" s="2" t="s">
        <v>103</v>
      </c>
      <c r="M19" s="5" t="str">
        <v>Gardner,G.R., and G. Laroche (1973). Copper Induced Lesions in Estuarine Teleosts. J. Fish. Res. Board Can., 30, (3), 363-368. doi:10.1139/f73-066. ECOREF#:8841</v>
      </c>
    </row>
    <row r="20" spans="1:13" x14ac:dyDescent="0.25">
      <c r="A20">
        <v>7440508</v>
      </c>
      <c r="B20" t="s">
        <v>101</v>
      </c>
      <c r="C20" t="s">
        <v>101</v>
      </c>
      <c r="D20" t="s">
        <v>10</v>
      </c>
      <c r="E20" t="s">
        <v>24</v>
      </c>
      <c r="F20" t="s">
        <v>25</v>
      </c>
      <c r="G20" t="s">
        <v>13</v>
      </c>
      <c r="H20">
        <v>2006</v>
      </c>
      <c r="I20">
        <v>5</v>
      </c>
      <c r="J20" s="2" t="s">
        <v>103</v>
      </c>
      <c r="M20" s="5" t="str">
        <v>Gaworecki,K.M., R.W. Chapman, M.G. Neely, A.R. D'Amico, and L.J. Bain (2012). Arsenic Exposure to Killifish During Embryogenesis Alters Muscle Development. Toxicol. Sci., 125, (2), 522-531. doi:10.1093/toxsci/kfr302. ECOREF#:191826</v>
      </c>
    </row>
    <row r="21" spans="1:13" x14ac:dyDescent="0.25">
      <c r="A21">
        <v>7440508</v>
      </c>
      <c r="B21" t="s">
        <v>101</v>
      </c>
      <c r="C21" t="s">
        <v>101</v>
      </c>
      <c r="D21" t="s">
        <v>10</v>
      </c>
      <c r="E21" t="s">
        <v>24</v>
      </c>
      <c r="F21" t="s">
        <v>24</v>
      </c>
      <c r="G21" t="s">
        <v>61</v>
      </c>
      <c r="H21">
        <v>2006</v>
      </c>
      <c r="I21">
        <v>1</v>
      </c>
      <c r="J21" s="2" t="s">
        <v>103</v>
      </c>
      <c r="M21" s="5" t="str">
        <v>Gill,T.S., and A. Epple (1992). Impact of Cadmium on the Mummichog Fundulus heteroclitus and the Role of Calcium in Suppressing Heavy Metal Toxicity. Comp. Biochem. Physiol. C Comp. Pharmacol., 101, (3), 519-523. doi:10.1016/0742-8413(92)90080-Q. ECOREF#:6445</v>
      </c>
    </row>
    <row r="22" spans="1:13" x14ac:dyDescent="0.25">
      <c r="A22">
        <v>7440508</v>
      </c>
      <c r="B22" t="s">
        <v>101</v>
      </c>
      <c r="C22" t="s">
        <v>101</v>
      </c>
      <c r="D22" t="s">
        <v>10</v>
      </c>
      <c r="E22" t="s">
        <v>55</v>
      </c>
      <c r="F22" t="s">
        <v>71</v>
      </c>
      <c r="G22" t="s">
        <v>16</v>
      </c>
      <c r="H22">
        <v>2006</v>
      </c>
      <c r="I22">
        <v>1</v>
      </c>
      <c r="J22" s="2" t="s">
        <v>103</v>
      </c>
      <c r="M22" s="5" t="str">
        <v>Gonzalez,H. (2007). Differential Gene Expression in Fundulus heteroclitus Due to Arsenic Exposure. Ph.D.Thesis, University of Texas, El Paso, TX, 107 p. ECOREF#:192296</v>
      </c>
    </row>
    <row r="23" spans="1:13" x14ac:dyDescent="0.25">
      <c r="A23">
        <v>7440508</v>
      </c>
      <c r="B23" t="s">
        <v>101</v>
      </c>
      <c r="C23" t="s">
        <v>101</v>
      </c>
      <c r="D23" t="s">
        <v>10</v>
      </c>
      <c r="E23" t="s">
        <v>55</v>
      </c>
      <c r="F23" t="s">
        <v>71</v>
      </c>
      <c r="G23" t="s">
        <v>26</v>
      </c>
      <c r="H23">
        <v>2006</v>
      </c>
      <c r="I23">
        <v>1</v>
      </c>
      <c r="J23" s="2" t="s">
        <v>103</v>
      </c>
      <c r="M23" s="5" t="str">
        <v>Gonzalez,H.O., J. Hu, K.M. Gaworecki, J.A. Roling, W.S. Baldwin, J.L. Gardea-Torresdey, and L.J. Bain (2010). Dose-Responsive Gene Expression Changes in Juvenile and Adult Mummichogs (Fundulus heteroclitus) After Arsenic Exposure. Mar. Environ. Res., 70, (2), 133-141. doi:10.1016/j.marenvres.2010.04.003. ECOREF#:151954</v>
      </c>
    </row>
    <row r="24" spans="1:13" x14ac:dyDescent="0.25">
      <c r="A24">
        <v>7440508</v>
      </c>
      <c r="B24" t="s">
        <v>101</v>
      </c>
      <c r="C24" t="s">
        <v>101</v>
      </c>
      <c r="D24" t="s">
        <v>10</v>
      </c>
      <c r="E24" t="s">
        <v>55</v>
      </c>
      <c r="F24" t="s">
        <v>57</v>
      </c>
      <c r="G24" t="s">
        <v>13</v>
      </c>
      <c r="H24">
        <v>2006</v>
      </c>
      <c r="I24">
        <v>6</v>
      </c>
      <c r="J24" s="2" t="s">
        <v>103</v>
      </c>
      <c r="M24" s="5" t="str">
        <v>Gonzalez,H.O., J.A. Roling, W.S. Baldwin, and L.J. Bain (2006). Physiological Changes and Differential Gene Expression in Mummichogs (Fundulus heteroclitus) Exposed to Arsenic. Aquat. Toxicol., 77, (1), 43-52. doi:10.1016/j.aquatox.2005.10.014. ECOREF#:89733</v>
      </c>
    </row>
    <row r="25" spans="1:13" x14ac:dyDescent="0.25">
      <c r="A25">
        <v>7440508</v>
      </c>
      <c r="B25" t="s">
        <v>101</v>
      </c>
      <c r="C25" t="s">
        <v>101</v>
      </c>
      <c r="D25" t="s">
        <v>10</v>
      </c>
      <c r="E25" t="s">
        <v>84</v>
      </c>
      <c r="F25" t="s">
        <v>104</v>
      </c>
      <c r="G25" t="s">
        <v>16</v>
      </c>
      <c r="H25">
        <v>2006</v>
      </c>
      <c r="I25">
        <v>5</v>
      </c>
      <c r="J25" s="2" t="s">
        <v>103</v>
      </c>
      <c r="M25" s="5" t="str">
        <v>Grosell,M., J. Blanchard, K.V. Brix, and R. Gerdes (2007). Physiology is Pivotal for Interactions Between Salinity and Acute Copper Toxicity to Fish and Invertebrates. Aquat. Toxicol., 84, (2), 162-172. doi:10.1016/j.aquatox.2007.03.026. ECOREF#:105967</v>
      </c>
    </row>
    <row r="26" spans="1:13" x14ac:dyDescent="0.25">
      <c r="A26">
        <v>7440508</v>
      </c>
      <c r="B26" t="s">
        <v>101</v>
      </c>
      <c r="C26" t="s">
        <v>101</v>
      </c>
      <c r="D26" t="s">
        <v>10</v>
      </c>
      <c r="E26" t="s">
        <v>84</v>
      </c>
      <c r="F26" t="s">
        <v>104</v>
      </c>
      <c r="G26" t="s">
        <v>26</v>
      </c>
      <c r="H26">
        <v>2006</v>
      </c>
      <c r="I26">
        <v>4</v>
      </c>
      <c r="J26" s="2" t="s">
        <v>103</v>
      </c>
      <c r="M26" s="5" t="str">
        <v>Guy,C.P., A.E. Pinkney, and M.H. Taylor (2006). Effects of Sediment-Bound Zinc Contamination on Early Life Stages of the Mummichog (Fundulus heteroclitus L.) in the Christina Watershed, Delaware, USA. Environ. Toxicol. Chem., 25, (5), 1305-1311. doi:10.1897/05-249R.1. ECOREF#:101779</v>
      </c>
    </row>
    <row r="27" spans="1:13" x14ac:dyDescent="0.25">
      <c r="A27">
        <v>7440508</v>
      </c>
      <c r="B27" t="s">
        <v>101</v>
      </c>
      <c r="C27" t="s">
        <v>101</v>
      </c>
      <c r="D27" t="s">
        <v>10</v>
      </c>
      <c r="E27" t="s">
        <v>84</v>
      </c>
      <c r="F27" t="s">
        <v>105</v>
      </c>
      <c r="G27" t="s">
        <v>13</v>
      </c>
      <c r="H27">
        <v>2006</v>
      </c>
      <c r="I27">
        <v>4</v>
      </c>
      <c r="J27" s="2" t="s">
        <v>103</v>
      </c>
      <c r="M27" s="5" t="str">
        <v>Jackim,E. (1973). Influence of Lead and Other Metals on Fish Delta-Aminolevulinate Dehydrase Activity. J. Fish. Res. Board Can., 30, (4), 560-562. doi:10.1139/f73-096. ECOREF#:8868</v>
      </c>
    </row>
    <row r="28" spans="1:13" x14ac:dyDescent="0.25">
      <c r="A28">
        <v>7440508</v>
      </c>
      <c r="B28" t="s">
        <v>101</v>
      </c>
      <c r="C28" t="s">
        <v>101</v>
      </c>
      <c r="D28" t="s">
        <v>10</v>
      </c>
      <c r="E28" t="s">
        <v>84</v>
      </c>
      <c r="F28" t="s">
        <v>106</v>
      </c>
      <c r="G28" t="s">
        <v>16</v>
      </c>
      <c r="H28">
        <v>2006</v>
      </c>
      <c r="I28">
        <v>7</v>
      </c>
      <c r="J28" s="2" t="s">
        <v>103</v>
      </c>
      <c r="M28" s="2" t="str">
        <v>Jackim,E. (1974). Enzyme Responses to Metals in Fish. In: F.J.Vernberg and W.B.Vernberg (Eds.), Pollution and Physiology of Marine Organisms, Academic Press, London, 59-65. ECOREF#:19746</v>
      </c>
    </row>
    <row r="29" spans="1:13" x14ac:dyDescent="0.25">
      <c r="A29">
        <v>7440508</v>
      </c>
      <c r="B29" t="s">
        <v>101</v>
      </c>
      <c r="C29" t="s">
        <v>101</v>
      </c>
      <c r="D29" t="s">
        <v>10</v>
      </c>
      <c r="E29" t="s">
        <v>84</v>
      </c>
      <c r="F29" t="s">
        <v>106</v>
      </c>
      <c r="G29" t="s">
        <v>26</v>
      </c>
      <c r="H29">
        <v>2006</v>
      </c>
      <c r="I29">
        <v>2</v>
      </c>
      <c r="J29" s="2" t="s">
        <v>103</v>
      </c>
      <c r="M29" s="5" t="str">
        <v>Jackim,E., J.M. Hamlin, and S. Sonis (1970). Effects of Metal Poisoning on Five Liver Enzymes in the Killifish (Fundulus heteroclitus). J. Fish. Res. Board Can., 27, (2), 383-390. doi:10.1139/f70-043. ECOREF#:9700</v>
      </c>
    </row>
    <row r="30" spans="1:13" x14ac:dyDescent="0.25">
      <c r="A30">
        <v>7440508</v>
      </c>
      <c r="B30" t="s">
        <v>101</v>
      </c>
      <c r="C30" t="s">
        <v>101</v>
      </c>
      <c r="D30" t="s">
        <v>10</v>
      </c>
      <c r="E30" t="s">
        <v>49</v>
      </c>
      <c r="F30" t="s">
        <v>50</v>
      </c>
      <c r="G30" t="s">
        <v>16</v>
      </c>
      <c r="H30">
        <v>2009</v>
      </c>
      <c r="I30">
        <v>13</v>
      </c>
      <c r="J30" s="2" t="s">
        <v>108</v>
      </c>
      <c r="M30" s="5" t="str">
        <v>Kaplan,L.A.E., K. Van Cleef, I. Wirgin, and J.F. Crivello (1995). A Comparison of RT-PCR and Northern Blot Analysis in Quantifying Metallothionein mRNA Levels in Killifish Exposed to Waterborne Cadmium. Mar. Environ. Res., 39, (1-4), 137-141. doi:10.1016/0141-1136(94)00045-Q. ECOREF#:16908</v>
      </c>
    </row>
    <row r="31" spans="1:13" x14ac:dyDescent="0.25">
      <c r="A31">
        <v>7440508</v>
      </c>
      <c r="B31" t="s">
        <v>101</v>
      </c>
      <c r="C31" t="s">
        <v>101</v>
      </c>
      <c r="D31" t="s">
        <v>10</v>
      </c>
      <c r="E31" t="s">
        <v>49</v>
      </c>
      <c r="F31" t="s">
        <v>50</v>
      </c>
      <c r="G31" t="s">
        <v>26</v>
      </c>
      <c r="H31">
        <v>2009</v>
      </c>
      <c r="I31">
        <v>11</v>
      </c>
      <c r="J31" s="2" t="s">
        <v>108</v>
      </c>
      <c r="M31" s="2" t="str">
        <v>Khan,A.T. (1987). Effects of Mercury on Fertilization Success of Sperm and Eggs of Two Populations of Killifish, Fundulus heteroclitus. Ph.D.Thesis, Rutgers, The State University of New Jersey, New Brunswick, NJ, 131 p. ECOREF#:17328</v>
      </c>
    </row>
    <row r="32" spans="1:13" x14ac:dyDescent="0.25">
      <c r="A32">
        <v>7646857</v>
      </c>
      <c r="B32" t="s">
        <v>147</v>
      </c>
      <c r="C32" t="s">
        <v>259</v>
      </c>
      <c r="D32" t="s">
        <v>10</v>
      </c>
      <c r="E32" t="s">
        <v>24</v>
      </c>
      <c r="F32" t="s">
        <v>24</v>
      </c>
      <c r="G32" t="s">
        <v>32</v>
      </c>
      <c r="H32">
        <v>1990</v>
      </c>
      <c r="I32">
        <v>1</v>
      </c>
      <c r="J32" s="2" t="s">
        <v>151</v>
      </c>
      <c r="M32" s="5" t="str">
        <v>Khan,A.T., and J.S. Weis (1987). Effect of Mercuric Chloride on Eggs and Juvenile Viability in Two Populations of Killifish. Mar. Pollut. Bull., 18, (9), 504-505. doi:10.1016/0025-326X(87)90362-6. ECOREF#:8494</v>
      </c>
    </row>
    <row r="33" spans="1:13" x14ac:dyDescent="0.25">
      <c r="A33">
        <v>7758987</v>
      </c>
      <c r="B33" t="s">
        <v>163</v>
      </c>
      <c r="C33" t="s">
        <v>101</v>
      </c>
      <c r="D33" t="s">
        <v>10</v>
      </c>
      <c r="E33" t="s">
        <v>24</v>
      </c>
      <c r="F33" t="s">
        <v>24</v>
      </c>
      <c r="G33" t="s">
        <v>32</v>
      </c>
      <c r="H33">
        <v>1990</v>
      </c>
      <c r="I33">
        <v>1</v>
      </c>
      <c r="J33" s="2" t="s">
        <v>151</v>
      </c>
      <c r="M33" s="5" t="str">
        <v>Khan,A.T., and J.S. Weis (1987). Effect of Methylmercury on Egg and Juvenile Viability in Two Populations of Killifish Fundulus heteroclitus. Environ. Res., 44, 272-278. doi:10.1016/S0013-9351(87)80236-0. ECOREF#:5602</v>
      </c>
    </row>
    <row r="34" spans="1:13" x14ac:dyDescent="0.25">
      <c r="A34">
        <v>10108642</v>
      </c>
      <c r="B34" t="s">
        <v>204</v>
      </c>
      <c r="C34" t="s">
        <v>82</v>
      </c>
      <c r="D34" t="s">
        <v>10</v>
      </c>
      <c r="E34" t="s">
        <v>24</v>
      </c>
      <c r="F34" t="s">
        <v>24</v>
      </c>
      <c r="G34" t="s">
        <v>32</v>
      </c>
      <c r="H34">
        <v>1990</v>
      </c>
      <c r="I34">
        <v>1</v>
      </c>
      <c r="J34" s="2" t="s">
        <v>151</v>
      </c>
      <c r="M34" s="5" t="str">
        <v>Khan,A.T., and J.S. Weis (1987). Effects of Methylmercury on Sperm and Egg Viability of Two Populations of Killifish (Fundulus heteroclitus). Arch. Environ. Contam. Toxicol., 16, (4), 499-505. doi:10.1007/BF01055273. ECOREF#:12573</v>
      </c>
    </row>
    <row r="35" spans="1:13" x14ac:dyDescent="0.25">
      <c r="A35">
        <v>7646857</v>
      </c>
      <c r="B35" t="s">
        <v>147</v>
      </c>
      <c r="C35" t="s">
        <v>259</v>
      </c>
      <c r="D35" t="s">
        <v>10</v>
      </c>
      <c r="E35" t="s">
        <v>24</v>
      </c>
      <c r="F35" t="s">
        <v>24</v>
      </c>
      <c r="G35" t="s">
        <v>32</v>
      </c>
      <c r="H35">
        <v>1985</v>
      </c>
      <c r="I35">
        <v>1</v>
      </c>
      <c r="J35" s="2" t="s">
        <v>152</v>
      </c>
      <c r="M35" s="5" t="str">
        <v>Khan,A.T., and J.S. Weis (1987). Toxic Effects of Mercuric Chloride on Sperm and Egg Viability of Two Populations of Mummichog, Fundulus heteroclitus. Environ. Pollut., 48, 263-273. doi:10.1016/0269-7491(87)90107-2. ECOREF#:5655</v>
      </c>
    </row>
    <row r="36" spans="1:13" x14ac:dyDescent="0.25">
      <c r="A36">
        <v>7784465</v>
      </c>
      <c r="B36" t="s">
        <v>169</v>
      </c>
      <c r="C36" t="s">
        <v>252</v>
      </c>
      <c r="D36" t="s">
        <v>10</v>
      </c>
      <c r="E36" t="s">
        <v>24</v>
      </c>
      <c r="F36" t="s">
        <v>24</v>
      </c>
      <c r="G36" t="s">
        <v>16</v>
      </c>
      <c r="H36">
        <v>2014</v>
      </c>
      <c r="I36">
        <v>1</v>
      </c>
      <c r="J36" s="2" t="s">
        <v>175</v>
      </c>
      <c r="M36" s="5" t="str">
        <v>Khan,A.T., and J.S. Weis (1993). Differential Effects of Organic and Inorganic Mercury on the Micropyle of the Eggs of Fundulus heteroclitus. Environ. Biol. Fishes, 37, (3), 323-327. doi:10.1007/BF00004640. ECOREF#:14008</v>
      </c>
    </row>
    <row r="37" spans="1:13" x14ac:dyDescent="0.25">
      <c r="A37">
        <v>7784465</v>
      </c>
      <c r="B37" t="s">
        <v>169</v>
      </c>
      <c r="C37" t="s">
        <v>252</v>
      </c>
      <c r="D37" t="s">
        <v>10</v>
      </c>
      <c r="E37" t="s">
        <v>24</v>
      </c>
      <c r="F37" t="s">
        <v>24</v>
      </c>
      <c r="G37" t="s">
        <v>26</v>
      </c>
      <c r="H37">
        <v>2014</v>
      </c>
      <c r="I37">
        <v>2</v>
      </c>
      <c r="J37" s="2" t="s">
        <v>175</v>
      </c>
      <c r="M37" s="2" t="str">
        <v>Khan,A.T., and J.S. Weis (1994). Effects of Embryonic Pre-Exposure to Mercury on Larval Tolerance in Two Populations of Killifish (Fundulus heteroclitus). Environ. Sci. (Tokyo), 2, (4), 201-207. ECOREF#:16895</v>
      </c>
    </row>
    <row r="38" spans="1:13" x14ac:dyDescent="0.25">
      <c r="A38">
        <v>7784465</v>
      </c>
      <c r="B38" t="s">
        <v>169</v>
      </c>
      <c r="C38" t="s">
        <v>252</v>
      </c>
      <c r="D38" t="s">
        <v>10</v>
      </c>
      <c r="E38" t="s">
        <v>64</v>
      </c>
      <c r="F38" t="s">
        <v>181</v>
      </c>
      <c r="G38" t="s">
        <v>13</v>
      </c>
      <c r="H38">
        <v>2014</v>
      </c>
      <c r="I38">
        <v>2</v>
      </c>
      <c r="J38" s="2" t="s">
        <v>175</v>
      </c>
      <c r="M38" s="5" t="str">
        <v>Klaunig,J., S. Koepp, and M. McCormick (1975). Acute Toxicity of a Native Mummichog Population (Fundulus heteroclitus) to Mercury. Bull. Environ. Contam. Toxicol., 14, (5), 534-536. doi:10.1007/BF01683367. ECOREF#:5515</v>
      </c>
    </row>
    <row r="39" spans="1:13" x14ac:dyDescent="0.25">
      <c r="A39">
        <v>7784465</v>
      </c>
      <c r="B39" t="s">
        <v>169</v>
      </c>
      <c r="C39" t="s">
        <v>252</v>
      </c>
      <c r="D39" t="s">
        <v>10</v>
      </c>
      <c r="E39" t="s">
        <v>33</v>
      </c>
      <c r="F39" t="s">
        <v>34</v>
      </c>
      <c r="G39" t="s">
        <v>16</v>
      </c>
      <c r="H39">
        <v>2014</v>
      </c>
      <c r="I39">
        <v>6</v>
      </c>
      <c r="J39" s="2" t="s">
        <v>175</v>
      </c>
      <c r="M39" s="5" t="str">
        <v>Koepp,S.J., and N.C. Dorato (1978). Fine Structure of the Fish Chloride Cell Associated with Both Acute and Chronic Exposure to Mercury. In: Proc. of the 9th Internat. Congr. Electron Microscopy, Toronto, Canada, 452-453. ECOREF#:8378</v>
      </c>
    </row>
    <row r="40" spans="1:13" x14ac:dyDescent="0.25">
      <c r="A40">
        <v>7784465</v>
      </c>
      <c r="B40" t="s">
        <v>169</v>
      </c>
      <c r="C40" t="s">
        <v>252</v>
      </c>
      <c r="D40" t="s">
        <v>10</v>
      </c>
      <c r="E40" t="s">
        <v>33</v>
      </c>
      <c r="F40" t="s">
        <v>34</v>
      </c>
      <c r="G40" t="s">
        <v>26</v>
      </c>
      <c r="H40">
        <v>2014</v>
      </c>
      <c r="I40">
        <v>6</v>
      </c>
      <c r="J40" s="2" t="s">
        <v>175</v>
      </c>
      <c r="M40" s="2" t="str">
        <v>Koepp,S.J., and N.C. Dorato (1979). Cytopathologic Response of the Chloride Cell of an Estuarine Fish (Fundulus heteroclitus) Associated with Both Acute and Chronic Exposure to Mercury. Manage.Control Heavy Met.Environ.Int.Conf, 148-151. ECOREF#:8379</v>
      </c>
    </row>
    <row r="41" spans="1:13" x14ac:dyDescent="0.25">
      <c r="A41">
        <v>7784465</v>
      </c>
      <c r="B41" t="s">
        <v>169</v>
      </c>
      <c r="C41" t="s">
        <v>252</v>
      </c>
      <c r="D41" t="s">
        <v>10</v>
      </c>
      <c r="E41" t="s">
        <v>33</v>
      </c>
      <c r="F41" t="s">
        <v>182</v>
      </c>
      <c r="G41" t="s">
        <v>13</v>
      </c>
      <c r="H41">
        <v>2014</v>
      </c>
      <c r="I41">
        <v>1</v>
      </c>
      <c r="J41" s="2" t="s">
        <v>175</v>
      </c>
      <c r="M41" s="2" t="str">
        <v>Kuroshima,R. (1992). Cadmium Accumulation in the Mummichog, Fundulus heteroclitus, Adapted to Various Salinities. Bull. Environ. Contam. Toxicol., 49, (5), 680-685. doi:10.1007/BF00200780. ECOREF#:5787</v>
      </c>
    </row>
    <row r="42" spans="1:13" x14ac:dyDescent="0.25">
      <c r="A42">
        <v>7784465</v>
      </c>
      <c r="B42" t="s">
        <v>169</v>
      </c>
      <c r="C42" t="s">
        <v>252</v>
      </c>
      <c r="D42" t="s">
        <v>10</v>
      </c>
      <c r="E42" t="s">
        <v>33</v>
      </c>
      <c r="F42" t="s">
        <v>182</v>
      </c>
      <c r="G42" t="s">
        <v>16</v>
      </c>
      <c r="H42">
        <v>2014</v>
      </c>
      <c r="I42">
        <v>5</v>
      </c>
      <c r="J42" s="2" t="s">
        <v>175</v>
      </c>
      <c r="M42" s="2" t="str">
        <v>Laroche,G., G.R. Gardner, R. Eisler, E.H. Jackim, P.P. Yevish, and G.E. Zaroogian (1973). Analysis of Toxic Response in Marine Poikilotherms. In: G.E.Glass (Ed.), Bioassay Techniques and Environmental Chemistry, Ann Arbor, MI, 199-216. ECOREF#:8849</v>
      </c>
    </row>
    <row r="43" spans="1:13" x14ac:dyDescent="0.25">
      <c r="A43">
        <v>7784465</v>
      </c>
      <c r="B43" t="s">
        <v>169</v>
      </c>
      <c r="C43" t="s">
        <v>252</v>
      </c>
      <c r="D43" t="s">
        <v>10</v>
      </c>
      <c r="E43" t="s">
        <v>33</v>
      </c>
      <c r="F43" t="s">
        <v>182</v>
      </c>
      <c r="G43" t="s">
        <v>26</v>
      </c>
      <c r="H43">
        <v>2014</v>
      </c>
      <c r="I43">
        <v>5</v>
      </c>
      <c r="J43" s="2" t="s">
        <v>175</v>
      </c>
      <c r="M43" s="5" t="str">
        <v>Lin,H.C., and W.A. Dunson (1993). The Effect of Salinity on the Acute Toxicity of Cadmium to the Tropical, Estuarine, Hermaphroditic Fish, Rivulus marmoratus:  A Comparison of Cd, Cu, and Zn Tolerance with Fundulus heteroclitus. Arch. Environ. Contam. Toxicol., 25, (1), 41-47. doi:10.1007/BF00230709. ECOREF#:6784</v>
      </c>
    </row>
    <row r="44" spans="1:13" x14ac:dyDescent="0.25">
      <c r="A44">
        <v>7784465</v>
      </c>
      <c r="B44" t="s">
        <v>169</v>
      </c>
      <c r="C44" t="s">
        <v>252</v>
      </c>
      <c r="D44" t="s">
        <v>10</v>
      </c>
      <c r="E44" t="s">
        <v>78</v>
      </c>
      <c r="F44" t="s">
        <v>180</v>
      </c>
      <c r="G44" t="s">
        <v>13</v>
      </c>
      <c r="H44">
        <v>2014</v>
      </c>
      <c r="I44">
        <v>7</v>
      </c>
      <c r="J44" s="2" t="s">
        <v>175</v>
      </c>
      <c r="M44" s="5" t="str">
        <v>Maples,N.L., and L.J. Bain (2004). Trivalent Chromium Alters Gene Expression in the Mummichog (Fundulus heteroclitus). Environ. Toxicol. Chem., 23, (3), 626-631. doi:10.1897/03-130. ECOREF#:90284</v>
      </c>
    </row>
    <row r="45" spans="1:13" x14ac:dyDescent="0.25">
      <c r="A45">
        <v>7784465</v>
      </c>
      <c r="B45" t="s">
        <v>169</v>
      </c>
      <c r="C45" t="s">
        <v>252</v>
      </c>
      <c r="D45" t="s">
        <v>10</v>
      </c>
      <c r="E45" t="s">
        <v>78</v>
      </c>
      <c r="F45" t="s">
        <v>180</v>
      </c>
      <c r="G45" t="s">
        <v>16</v>
      </c>
      <c r="H45">
        <v>2014</v>
      </c>
      <c r="I45">
        <v>21</v>
      </c>
      <c r="J45" s="2" t="s">
        <v>175</v>
      </c>
      <c r="M45" s="5" t="str">
        <v>Matta,M.B., J. Linse, C. Cairncross, L. Francendese, and R.M. Kocan (2001). Reproductive and Transgenerational Effects of Methylmercury or Aroclor 1268 on Fundulus heteroclitus. Environ. Toxicol. Chem., 20, (2), 327-335. doi:10.1002/etc.5620200213. ECOREF#:56679</v>
      </c>
    </row>
    <row r="46" spans="1:13" x14ac:dyDescent="0.25">
      <c r="A46">
        <v>7784465</v>
      </c>
      <c r="B46" t="s">
        <v>169</v>
      </c>
      <c r="C46" t="s">
        <v>252</v>
      </c>
      <c r="D46" t="s">
        <v>10</v>
      </c>
      <c r="E46" t="s">
        <v>78</v>
      </c>
      <c r="F46" t="s">
        <v>180</v>
      </c>
      <c r="G46" t="s">
        <v>26</v>
      </c>
      <c r="H46">
        <v>2014</v>
      </c>
      <c r="I46">
        <v>39</v>
      </c>
      <c r="J46" s="2" t="s">
        <v>175</v>
      </c>
      <c r="M46" s="5" t="str">
        <v>McKenney,C.L.J., and J.M. Dean (1974). Effects of Acute Exposure to Sublethal Concentrations of Cadmium on the Thermal Resistance of the Mummichog. In: J.W.Gibbons and R.R.Sharitz (Eds.), Proc.Symp.Thermal Ecology, Augusta, GA:43-53 (U.S.NTIS CONF-730505), ECOREF#:8396</v>
      </c>
    </row>
    <row r="47" spans="1:13" x14ac:dyDescent="0.25">
      <c r="A47">
        <v>7784465</v>
      </c>
      <c r="B47" t="s">
        <v>169</v>
      </c>
      <c r="C47" t="s">
        <v>252</v>
      </c>
      <c r="D47" t="s">
        <v>10</v>
      </c>
      <c r="E47" t="s">
        <v>78</v>
      </c>
      <c r="F47" t="s">
        <v>194</v>
      </c>
      <c r="G47" t="s">
        <v>16</v>
      </c>
      <c r="H47">
        <v>2014</v>
      </c>
      <c r="I47">
        <v>2</v>
      </c>
      <c r="J47" s="2" t="s">
        <v>175</v>
      </c>
      <c r="M47" s="5" t="str">
        <v>Middaugh,D.P., and J.M. Dean (1977). Comparative Sensitivity of Eggs, Larvae and Adults of the Estuarine Teleost, Fundulus heteroclitus and Menidia menidia to Cadmium. Bull. Environ. Contam. Toxicol., 17, (6), 645-652. doi:10.1007/BF01685947. ECOREF#:8334</v>
      </c>
    </row>
    <row r="48" spans="1:13" x14ac:dyDescent="0.25">
      <c r="A48">
        <v>7784465</v>
      </c>
      <c r="B48" t="s">
        <v>169</v>
      </c>
      <c r="C48" t="s">
        <v>252</v>
      </c>
      <c r="D48" t="s">
        <v>10</v>
      </c>
      <c r="E48" t="s">
        <v>78</v>
      </c>
      <c r="F48" t="s">
        <v>194</v>
      </c>
      <c r="G48" t="s">
        <v>26</v>
      </c>
      <c r="H48">
        <v>2014</v>
      </c>
      <c r="I48">
        <v>4</v>
      </c>
      <c r="J48" s="2" t="s">
        <v>175</v>
      </c>
      <c r="M48" s="5" t="str">
        <v>Ortiz,J.B., M.L. Gonzalez de Canales, and C. Sarasquete (1999). Quantification and Histopathological Alterations Produced by Sublethal Concentrations of Copper in Fundulus heteroclitus(Cuantificacion y Alteraciones Histopatologicas Producidas por Concentraciones Subletales de Cobre . Cienc. Mar., 25, (1), 119-143. doi:10.7773/cm.v25i1.644. ECOREF#:117476</v>
      </c>
    </row>
    <row r="49" spans="1:13" x14ac:dyDescent="0.25">
      <c r="A49">
        <v>7784465</v>
      </c>
      <c r="B49" t="s">
        <v>169</v>
      </c>
      <c r="C49" t="s">
        <v>252</v>
      </c>
      <c r="D49" t="s">
        <v>10</v>
      </c>
      <c r="E49" t="s">
        <v>49</v>
      </c>
      <c r="F49" t="s">
        <v>50</v>
      </c>
      <c r="G49" t="s">
        <v>26</v>
      </c>
      <c r="H49">
        <v>2014</v>
      </c>
      <c r="I49">
        <v>1</v>
      </c>
      <c r="J49" s="2" t="s">
        <v>175</v>
      </c>
      <c r="M49" s="5" t="str">
        <v>Perry,D.M., J.S. Weis, and P. Weis (1988). Cytogenetic Effects of Methylmercury in Embryos of the Killifish, Fundulus heteroclitus. Arch. Environ. Contam. Toxicol., 17, (5), 569-574. doi:10.1007/BF01055824. ECOREF#:15247</v>
      </c>
    </row>
    <row r="50" spans="1:13" x14ac:dyDescent="0.25">
      <c r="A50">
        <v>1344678</v>
      </c>
      <c r="B50" t="s">
        <v>60</v>
      </c>
      <c r="C50" t="s">
        <v>101</v>
      </c>
      <c r="D50" t="s">
        <v>10</v>
      </c>
      <c r="E50" t="s">
        <v>24</v>
      </c>
      <c r="F50" t="s">
        <v>24</v>
      </c>
      <c r="G50" t="s">
        <v>32</v>
      </c>
      <c r="H50">
        <v>1977</v>
      </c>
      <c r="I50">
        <v>8</v>
      </c>
      <c r="J50" s="2" t="s">
        <v>63</v>
      </c>
      <c r="M50" s="5" t="str">
        <v>Pruell,R.J., and F.R. Engelhardt (1980). Liver Cadmium Uptake, Catalase Inhibition and Cadmium Thionein Production in the Killifish (Fundulus heteroclitus) Induced by Experimental. Mar. Environ. Res., 3, (2), 101-111. doi:10.1016/0141-1136(80)90019-7. ECOREF#:9880</v>
      </c>
    </row>
    <row r="51" spans="1:13" x14ac:dyDescent="0.25">
      <c r="A51">
        <v>7446700</v>
      </c>
      <c r="B51" t="s">
        <v>111</v>
      </c>
      <c r="C51" t="s">
        <v>251</v>
      </c>
      <c r="D51" t="s">
        <v>10</v>
      </c>
      <c r="E51" t="s">
        <v>24</v>
      </c>
      <c r="F51" t="s">
        <v>24</v>
      </c>
      <c r="G51" t="s">
        <v>32</v>
      </c>
      <c r="H51">
        <v>1977</v>
      </c>
      <c r="I51">
        <v>8</v>
      </c>
      <c r="J51" s="2" t="s">
        <v>63</v>
      </c>
      <c r="M51" s="5" t="str">
        <v>Renfro,J.L., B. Schmidt-Nielsen, D. Miller, D. Benos, and J. Allen (1974). Methyl Mercury and Inorganic Mercury:  Uptake, Distribution, and Effect on Osmoregulatory Mechanisms in Fishes. In: F.J.Vernberg and W.B.Vernberg (Eds.), Pollution and Physiology of Mar.Organisms, Acad.Press, NY, 101-122. ECOREF#:8685</v>
      </c>
    </row>
    <row r="52" spans="1:13" x14ac:dyDescent="0.25">
      <c r="A52">
        <v>7487947</v>
      </c>
      <c r="B52" t="s">
        <v>117</v>
      </c>
      <c r="C52" t="s">
        <v>76</v>
      </c>
      <c r="D52" t="s">
        <v>10</v>
      </c>
      <c r="E52" t="s">
        <v>24</v>
      </c>
      <c r="F52" t="s">
        <v>24</v>
      </c>
      <c r="G52" t="s">
        <v>32</v>
      </c>
      <c r="H52">
        <v>1977</v>
      </c>
      <c r="I52">
        <v>8</v>
      </c>
      <c r="J52" s="2" t="s">
        <v>63</v>
      </c>
      <c r="M52" s="5" t="str">
        <v>Roesijadi,G., S. Rezvankhah, A. Perez-Matus, A. Mitelberg, K. Torruellas, and P.A. Van Veld (2009). Dietary Cadmium and Benzo(a)pyrene Increased Intestinal Metallothionein Expression in the Fish Fundulus heteroclitus. Mar. Environ. Res., 67, (1), 25-30. doi:10.1016/j.marenvres.2008.10.002. ECOREF#:117420</v>
      </c>
    </row>
    <row r="53" spans="1:13" x14ac:dyDescent="0.25">
      <c r="A53">
        <v>7542098</v>
      </c>
      <c r="B53" t="s">
        <v>133</v>
      </c>
      <c r="C53" t="s">
        <v>253</v>
      </c>
      <c r="D53" t="s">
        <v>10</v>
      </c>
      <c r="E53" t="s">
        <v>24</v>
      </c>
      <c r="F53" t="s">
        <v>24</v>
      </c>
      <c r="G53" t="s">
        <v>32</v>
      </c>
      <c r="H53">
        <v>1977</v>
      </c>
      <c r="I53">
        <v>8</v>
      </c>
      <c r="J53" s="2" t="s">
        <v>63</v>
      </c>
      <c r="M53" s="2" t="str">
        <v>Sauer,G.R. (1987). The Effect of Cadmium and Zinc on Calcium Uptake and Scale Regeneration in Fundulus heteroclitus. In: W.A.Vernberg, A.Calabrese, F.P.Thurberg, and F.J.Vernberg (Eds.), Pollution of Estuarine Organisms, Univ.of SC Press, Columbia, SC, 373-399. ECOREF#:4904</v>
      </c>
    </row>
    <row r="54" spans="1:13" x14ac:dyDescent="0.25">
      <c r="A54">
        <v>7646799</v>
      </c>
      <c r="B54" t="s">
        <v>146</v>
      </c>
      <c r="C54" t="s">
        <v>253</v>
      </c>
      <c r="D54" t="s">
        <v>10</v>
      </c>
      <c r="E54" t="s">
        <v>24</v>
      </c>
      <c r="F54" t="s">
        <v>24</v>
      </c>
      <c r="G54" t="s">
        <v>32</v>
      </c>
      <c r="H54">
        <v>1977</v>
      </c>
      <c r="I54">
        <v>8</v>
      </c>
      <c r="J54" s="2" t="s">
        <v>63</v>
      </c>
      <c r="M54" s="5" t="str">
        <v>Sauer,G.R., and N. Watabe (1984). Zinc Uptake and its Effect on Calcification in the Scales of the Mummichog, Fundulus heteroclitus. Aquat. Toxicol., 5, (1), 51-66. doi:10.1016/0166-445X(84)90031-6. ECOREF#:10110</v>
      </c>
    </row>
    <row r="55" spans="1:13" x14ac:dyDescent="0.25">
      <c r="A55">
        <v>7646857</v>
      </c>
      <c r="B55" t="s">
        <v>147</v>
      </c>
      <c r="C55" t="s">
        <v>259</v>
      </c>
      <c r="D55" t="s">
        <v>10</v>
      </c>
      <c r="E55" t="s">
        <v>24</v>
      </c>
      <c r="F55" t="s">
        <v>24</v>
      </c>
      <c r="G55" t="s">
        <v>32</v>
      </c>
      <c r="H55">
        <v>1977</v>
      </c>
      <c r="I55">
        <v>8</v>
      </c>
      <c r="J55" s="2" t="s">
        <v>63</v>
      </c>
      <c r="M55" s="5" t="str">
        <v>Sauer,G.R., and N. Watabe (1989). Temporal and Metal-Specific Patterns in the Accumulation of Heavy Metals by the Scales of Fundulus heteroclitus. Aquat. Toxicol., 14, (3), 233-248. doi:10.1016/0166-445X(89)90018-0. ECOREF#:3501</v>
      </c>
    </row>
    <row r="56" spans="1:13" x14ac:dyDescent="0.25">
      <c r="A56">
        <v>7705080</v>
      </c>
      <c r="B56" t="s">
        <v>157</v>
      </c>
      <c r="C56" t="s">
        <v>254</v>
      </c>
      <c r="D56" t="s">
        <v>10</v>
      </c>
      <c r="E56" t="s">
        <v>24</v>
      </c>
      <c r="F56" t="s">
        <v>24</v>
      </c>
      <c r="G56" t="s">
        <v>32</v>
      </c>
      <c r="H56">
        <v>1977</v>
      </c>
      <c r="I56">
        <v>8</v>
      </c>
      <c r="J56" s="2" t="s">
        <v>63</v>
      </c>
      <c r="M56" s="5" t="str">
        <v>Sauer,G.R., and N. Watabe (1989). Ultrastructural and Histochemical Aspects of Zinc Accumulation by Fish Scales. Tissue Cell, 21, (6), 935-943. doi:10.1016/0040-8166(89)90044-X. ECOREF#:137</v>
      </c>
    </row>
    <row r="57" spans="1:13" x14ac:dyDescent="0.25">
      <c r="A57">
        <v>7733020</v>
      </c>
      <c r="B57" t="s">
        <v>159</v>
      </c>
      <c r="C57" t="s">
        <v>259</v>
      </c>
      <c r="D57" t="s">
        <v>10</v>
      </c>
      <c r="E57" t="s">
        <v>24</v>
      </c>
      <c r="F57" t="s">
        <v>24</v>
      </c>
      <c r="G57" t="s">
        <v>32</v>
      </c>
      <c r="H57">
        <v>1977</v>
      </c>
      <c r="I57">
        <v>8</v>
      </c>
      <c r="J57" s="2" t="s">
        <v>63</v>
      </c>
      <c r="M57" s="5" t="str">
        <v>Sharp,J.R., and J.M. Neff (1980). Effects of the Duration of Exposure to Mercuric Chloride on the Embryogenesis of the Estuarine Teleost, Fundulus heteroclitus. Mar. Environ. Res., 3, (3), 195-213. doi:10.1016/0141-1136(80)90027-6. ECOREF#:5634</v>
      </c>
    </row>
    <row r="58" spans="1:13" x14ac:dyDescent="0.25">
      <c r="A58">
        <v>7758987</v>
      </c>
      <c r="B58" t="s">
        <v>163</v>
      </c>
      <c r="C58" t="s">
        <v>101</v>
      </c>
      <c r="D58" t="s">
        <v>10</v>
      </c>
      <c r="E58" t="s">
        <v>24</v>
      </c>
      <c r="F58" t="s">
        <v>24</v>
      </c>
      <c r="G58" t="s">
        <v>32</v>
      </c>
      <c r="H58">
        <v>1977</v>
      </c>
      <c r="I58">
        <v>8</v>
      </c>
      <c r="J58" s="2" t="s">
        <v>63</v>
      </c>
      <c r="M58" s="5" t="str">
        <v>Sharp,J.R., and J.M. Neff (1982). The Toxicity of Mercuric Chloride and Methylmercuric Chloride to Fundulus heteroclitus Embryos in Relation to Exposure Conditions. Environ. Biol. Fishes, 7, (3), 277-284. doi:10.1007/BF00002502. ECOREF#:10517</v>
      </c>
    </row>
    <row r="59" spans="1:13" x14ac:dyDescent="0.25">
      <c r="A59">
        <v>7783360</v>
      </c>
      <c r="B59" t="s">
        <v>167</v>
      </c>
      <c r="C59" t="s">
        <v>76</v>
      </c>
      <c r="D59" t="s">
        <v>10</v>
      </c>
      <c r="E59" t="s">
        <v>24</v>
      </c>
      <c r="F59" t="s">
        <v>24</v>
      </c>
      <c r="G59" t="s">
        <v>32</v>
      </c>
      <c r="H59">
        <v>1977</v>
      </c>
      <c r="I59">
        <v>8</v>
      </c>
      <c r="J59" s="2" t="s">
        <v>63</v>
      </c>
      <c r="M59" s="5" t="str">
        <v>Shaw,J.R., B. Jackson, K. Gabor, S. Stanton, J.W. Hamilton, and B.A. Stanton (2007). The Influence of Exposure History on Arsenic Accumulation and Toxicity in the Killifish, Fundulus heteroclitus. Environ. Toxicol. Chem., 26, (12), 2704-2709. doi:10.1897/07-032.1. ECOREF#:109419</v>
      </c>
    </row>
    <row r="60" spans="1:13" x14ac:dyDescent="0.25">
      <c r="A60">
        <v>7784250</v>
      </c>
      <c r="B60" t="s">
        <v>168</v>
      </c>
      <c r="C60" t="s">
        <v>251</v>
      </c>
      <c r="D60" t="s">
        <v>10</v>
      </c>
      <c r="E60" t="s">
        <v>24</v>
      </c>
      <c r="F60" t="s">
        <v>24</v>
      </c>
      <c r="G60" t="s">
        <v>32</v>
      </c>
      <c r="H60">
        <v>1977</v>
      </c>
      <c r="I60">
        <v>8</v>
      </c>
      <c r="J60" s="2" t="s">
        <v>63</v>
      </c>
      <c r="M60" s="5" t="str">
        <v>Shaw,J.R., K. Gabor, E. Hand, A. Lankowski, L. Durant, R. Thibodeau, C.R. Stanton, R. Barnaby, B. Coutermarsh, K.H. Kar (2007). Role of Glucocorticoid Receptor in Acclimation of Killifish (Fundulus heteroclitus) to Seawater and Effects of Arsenic. Am. J. Physiol., Regul. Integr. Comp. Physiol., 292, (2), R1052 - R1060. doi:10.1152/ajpregu.00328.2006. ECOREF#:101073</v>
      </c>
    </row>
    <row r="61" spans="1:13" x14ac:dyDescent="0.25">
      <c r="A61">
        <v>7789006</v>
      </c>
      <c r="B61" t="s">
        <v>198</v>
      </c>
      <c r="C61" t="s">
        <v>92</v>
      </c>
      <c r="D61" t="s">
        <v>10</v>
      </c>
      <c r="E61" t="s">
        <v>24</v>
      </c>
      <c r="F61" t="s">
        <v>24</v>
      </c>
      <c r="G61" t="s">
        <v>32</v>
      </c>
      <c r="H61">
        <v>1977</v>
      </c>
      <c r="I61">
        <v>8</v>
      </c>
      <c r="J61" s="2" t="s">
        <v>63</v>
      </c>
      <c r="M61" s="5" t="str">
        <v>Sheline,J., and B. Schmidt-Nielsen (1977). Methylmercury-Selenium: Interaction in the Killifish, Fundulus heteroclitus. In: F.J.Vernberg (Ed.), Physiological Responses of Marine Biota to Pollutants, Academic Press, NY, 119-130. ECOREF#:14107</v>
      </c>
    </row>
    <row r="62" spans="1:13" x14ac:dyDescent="0.25">
      <c r="A62">
        <v>7803556</v>
      </c>
      <c r="B62" t="s">
        <v>199</v>
      </c>
      <c r="C62" t="s">
        <v>258</v>
      </c>
      <c r="D62" t="s">
        <v>10</v>
      </c>
      <c r="E62" t="s">
        <v>24</v>
      </c>
      <c r="F62" t="s">
        <v>24</v>
      </c>
      <c r="G62" t="s">
        <v>32</v>
      </c>
      <c r="H62">
        <v>1977</v>
      </c>
      <c r="I62">
        <v>8</v>
      </c>
      <c r="J62" s="2" t="s">
        <v>63</v>
      </c>
      <c r="M62" s="5" t="str">
        <v>Szymkowicz,D.B., K.C. Sims, N.M. Castro, W.C. Bridges, and L.J. Bain (2017). Embryonic-Only Arsenic Exposure in Killifish (Fundulus heteroclitus) Reduces Growth and Alters Muscle IGF Levels One Year Later. Aquat. Toxicol., 186, 1-10. doi:10.1016/j.aquatox.2017.02.020. ECOREF#:191819</v>
      </c>
    </row>
    <row r="63" spans="1:13" x14ac:dyDescent="0.25">
      <c r="A63">
        <v>10045893</v>
      </c>
      <c r="B63" t="s">
        <v>201</v>
      </c>
      <c r="C63" t="s">
        <v>254</v>
      </c>
      <c r="D63" t="s">
        <v>10</v>
      </c>
      <c r="E63" t="s">
        <v>24</v>
      </c>
      <c r="F63" t="s">
        <v>24</v>
      </c>
      <c r="G63" t="s">
        <v>32</v>
      </c>
      <c r="H63">
        <v>1977</v>
      </c>
      <c r="I63">
        <v>8</v>
      </c>
      <c r="J63" s="2" t="s">
        <v>63</v>
      </c>
      <c r="M63" s="5" t="str">
        <v>Thomas,A. (1915). Effects of Certain Metallic Salts upon Fishes. Trans. Am. Fish. Soc., 44, (2), 120-124. doi:10.1577/1548-8659(1914)44[120:EOCMSU]2.0.CO;2. ECOREF#:2865</v>
      </c>
    </row>
    <row r="64" spans="1:13" x14ac:dyDescent="0.25">
      <c r="A64">
        <v>10099748</v>
      </c>
      <c r="B64" t="s">
        <v>202</v>
      </c>
      <c r="C64" t="s">
        <v>68</v>
      </c>
      <c r="D64" t="s">
        <v>10</v>
      </c>
      <c r="E64" t="s">
        <v>24</v>
      </c>
      <c r="F64" t="s">
        <v>24</v>
      </c>
      <c r="G64" t="s">
        <v>32</v>
      </c>
      <c r="H64">
        <v>1977</v>
      </c>
      <c r="I64">
        <v>8</v>
      </c>
      <c r="J64" s="2" t="s">
        <v>63</v>
      </c>
      <c r="M64" s="2" t="str">
        <v>Toppin,S.R.V. (1985). Factors and Mechanisms Affecting the Toxicity of Mercury to the Killifish, Fundulus heteroclitus. Ph.D.Thesis, Rutgers University, Newark, NJ, 135 p. ECOREF#:4250</v>
      </c>
    </row>
    <row r="65" spans="1:13" x14ac:dyDescent="0.25">
      <c r="A65">
        <v>10108642</v>
      </c>
      <c r="B65" t="s">
        <v>204</v>
      </c>
      <c r="C65" t="s">
        <v>82</v>
      </c>
      <c r="D65" t="s">
        <v>10</v>
      </c>
      <c r="E65" t="s">
        <v>24</v>
      </c>
      <c r="F65" t="s">
        <v>24</v>
      </c>
      <c r="G65" t="s">
        <v>32</v>
      </c>
      <c r="H65">
        <v>1977</v>
      </c>
      <c r="I65">
        <v>8</v>
      </c>
      <c r="J65" s="2" t="s">
        <v>63</v>
      </c>
      <c r="M65" s="2" t="str">
        <v>Toppin,S.V., M. Heber, J.S. Weis, and P. Weis (1985). Changes in Reproductive Biology and Life History of Fundulus heteroclitus in a Polluted Environment. In: W.B.Vernberg, A.Calabrese, F.P.Thurberg, and F.J.Vernberg (Eds.), Pollution Physiology of Estuarine Organisms, University of South Carolina Press, Columbia, SC, 171-184. ECOREF#:172482</v>
      </c>
    </row>
    <row r="66" spans="1:13" x14ac:dyDescent="0.25">
      <c r="A66">
        <v>10112911</v>
      </c>
      <c r="B66" t="s">
        <v>217</v>
      </c>
      <c r="C66" t="s">
        <v>76</v>
      </c>
      <c r="D66" t="s">
        <v>10</v>
      </c>
      <c r="E66" t="s">
        <v>24</v>
      </c>
      <c r="F66" t="s">
        <v>24</v>
      </c>
      <c r="G66" t="s">
        <v>32</v>
      </c>
      <c r="H66">
        <v>1977</v>
      </c>
      <c r="I66">
        <v>8</v>
      </c>
      <c r="J66" s="2" t="s">
        <v>63</v>
      </c>
      <c r="M66" s="2" t="str">
        <v>Upjohn Co. (1989). Acute Toxicity of Selected Compounds in the Upjohn Company's North Haven Facility NPDES Discharge Serial #001 to Juvenile Grass &amp; Shrimp Mummichogs (Final Report) w-Cover Letter. EPA/OTS Doc.#86-890000585, 56 p. ECOREF#:177340</v>
      </c>
    </row>
    <row r="67" spans="1:13" x14ac:dyDescent="0.25">
      <c r="A67">
        <v>10138042</v>
      </c>
      <c r="B67" t="s">
        <v>219</v>
      </c>
      <c r="C67" t="s">
        <v>254</v>
      </c>
      <c r="D67" t="s">
        <v>10</v>
      </c>
      <c r="E67" t="s">
        <v>24</v>
      </c>
      <c r="F67" t="s">
        <v>24</v>
      </c>
      <c r="G67" t="s">
        <v>32</v>
      </c>
      <c r="H67">
        <v>1977</v>
      </c>
      <c r="I67">
        <v>4</v>
      </c>
      <c r="J67" s="2" t="s">
        <v>63</v>
      </c>
      <c r="M67" s="5" t="str">
        <v>Van den Hurk,P., M. Faisal, and M.H.,Jr. Roberts (2000). Interactive Effects of Cadmium and Benzo(a)pyrene on Metallothionein Induction in Mummichog (Fundulus heteroclitus). Mar. Environ. Res., 50, 83-87. doi:10.1016/S0141-1136(00)00098-2. ECOREF#:56643</v>
      </c>
    </row>
    <row r="68" spans="1:13" x14ac:dyDescent="0.25">
      <c r="A68">
        <v>37211055</v>
      </c>
      <c r="B68" t="s">
        <v>248</v>
      </c>
      <c r="C68" t="s">
        <v>256</v>
      </c>
      <c r="D68" t="s">
        <v>10</v>
      </c>
      <c r="E68" t="s">
        <v>24</v>
      </c>
      <c r="F68" t="s">
        <v>24</v>
      </c>
      <c r="G68" t="s">
        <v>32</v>
      </c>
      <c r="H68">
        <v>1977</v>
      </c>
      <c r="I68">
        <v>8</v>
      </c>
      <c r="J68" s="2" t="s">
        <v>63</v>
      </c>
      <c r="M68" s="5" t="str">
        <v>Voyer,R.A. (1975). Effect of Dissolved Oxygen Concentration on the Acute Toxicity of Cadmium to the Mummichog, Fundulus heteroclitus (L.), at Various Salinities. Trans. Am. Fish. Soc., 104, (1), 129-134. doi:10.1577/1548-8659(1975)104&lt;129:EODOCO&gt;2.0.CO;2. ECOREF#:6172</v>
      </c>
    </row>
    <row r="69" spans="1:13" x14ac:dyDescent="0.25">
      <c r="A69">
        <v>7646857</v>
      </c>
      <c r="B69" t="s">
        <v>147</v>
      </c>
      <c r="C69" t="s">
        <v>259</v>
      </c>
      <c r="D69" t="s">
        <v>10</v>
      </c>
      <c r="E69" t="s">
        <v>24</v>
      </c>
      <c r="F69" t="s">
        <v>24</v>
      </c>
      <c r="G69" t="s">
        <v>32</v>
      </c>
      <c r="H69">
        <v>1967</v>
      </c>
      <c r="I69">
        <v>1</v>
      </c>
      <c r="J69" s="2" t="s">
        <v>153</v>
      </c>
      <c r="M69" s="5" t="str">
        <v>Voyer,R.A., P.P. Yevich, and C.A. Barszcz (1975). Histological and Toxicological Responses of the Mummichog, Fundulus heteroclitus (L.) to Combinations of Levels of Cadmium and Dissolved Oxygen. Water Res., 9, 1069-1074. doi:10.1016/0043-1354(75)90103-7. ECOREF#:449</v>
      </c>
    </row>
    <row r="70" spans="1:13" x14ac:dyDescent="0.25">
      <c r="A70">
        <v>7646857</v>
      </c>
      <c r="B70" t="s">
        <v>147</v>
      </c>
      <c r="C70" t="s">
        <v>259</v>
      </c>
      <c r="D70" t="s">
        <v>10</v>
      </c>
      <c r="E70" t="s">
        <v>49</v>
      </c>
      <c r="F70" t="s">
        <v>51</v>
      </c>
      <c r="G70" t="s">
        <v>13</v>
      </c>
      <c r="H70">
        <v>1967</v>
      </c>
      <c r="I70">
        <v>1</v>
      </c>
      <c r="J70" s="2" t="s">
        <v>153</v>
      </c>
      <c r="M70" s="5" t="str">
        <v>Weis,J., P. Weis, and M. Heber (1982). Variation in Response to Methylmercury by Killifish (Fundulus heteroclitus) Embryos. ASTM Spec. Tech. Publ., 109-119. ECOREF#:11416</v>
      </c>
    </row>
    <row r="71" spans="1:13" x14ac:dyDescent="0.25">
      <c r="A71">
        <v>10108642</v>
      </c>
      <c r="B71" t="s">
        <v>204</v>
      </c>
      <c r="C71" t="s">
        <v>82</v>
      </c>
      <c r="D71" t="s">
        <v>10</v>
      </c>
      <c r="E71" t="s">
        <v>24</v>
      </c>
      <c r="F71" t="s">
        <v>24</v>
      </c>
      <c r="G71" t="s">
        <v>123</v>
      </c>
      <c r="H71">
        <v>1971</v>
      </c>
      <c r="I71">
        <v>3</v>
      </c>
      <c r="J71" s="2" t="s">
        <v>207</v>
      </c>
      <c r="M71" s="5" t="str">
        <v>Weis,J.S., and A.A. Khan (1990). Effects of Mercury on the Feeding Behavior of the Mummichog, Fundulus heteroclitus from a Polluted Habitat. Mar. Environ. Res., 30, (4), 243-249. doi:10.1016/0141-1136(90)90001-5. ECOREF#:7644</v>
      </c>
    </row>
    <row r="72" spans="1:13" x14ac:dyDescent="0.25">
      <c r="A72">
        <v>7440439</v>
      </c>
      <c r="B72" t="s">
        <v>82</v>
      </c>
      <c r="C72" t="s">
        <v>82</v>
      </c>
      <c r="D72" t="s">
        <v>10</v>
      </c>
      <c r="E72" t="s">
        <v>49</v>
      </c>
      <c r="F72" t="s">
        <v>50</v>
      </c>
      <c r="G72" t="s">
        <v>13</v>
      </c>
      <c r="H72">
        <v>1974</v>
      </c>
      <c r="I72">
        <v>2</v>
      </c>
      <c r="J72" s="2" t="s">
        <v>89</v>
      </c>
      <c r="M72" s="5" t="str">
        <v>Weis,J.S., and P. Weis (1977). Effects of Heavy Metals on Development of the Killifish, Fundulus heterclitus. J. Fish Biol., 11, (1), 49-54. doi:10.1111/j.1095-8649.1977.tb04097.x. ECOREF#:45298</v>
      </c>
    </row>
    <row r="73" spans="1:13" x14ac:dyDescent="0.25">
      <c r="A73">
        <v>7440439</v>
      </c>
      <c r="B73" t="s">
        <v>82</v>
      </c>
      <c r="C73" t="s">
        <v>82</v>
      </c>
      <c r="D73" t="s">
        <v>10</v>
      </c>
      <c r="E73" t="s">
        <v>49</v>
      </c>
      <c r="F73" t="s">
        <v>50</v>
      </c>
      <c r="G73" t="s">
        <v>90</v>
      </c>
      <c r="H73">
        <v>1974</v>
      </c>
      <c r="I73">
        <v>30</v>
      </c>
      <c r="J73" s="2" t="s">
        <v>89</v>
      </c>
      <c r="M73" s="5" t="str">
        <v>Weis,J.S., and P. Weis (1984). A Rapid Change in Methylmercury Tolerance in a Population of Killifish, Fundulus heteroclitus, from a Golf Course Pond. Mar. Environ. Res., 13, (3), 231-245. doi:10.1016/0141-1136(84)90031-X. ECOREF#:10627</v>
      </c>
    </row>
    <row r="74" spans="1:13" x14ac:dyDescent="0.25">
      <c r="A74">
        <v>7646799</v>
      </c>
      <c r="B74" t="s">
        <v>146</v>
      </c>
      <c r="C74" t="s">
        <v>253</v>
      </c>
      <c r="D74" t="s">
        <v>10</v>
      </c>
      <c r="E74" t="s">
        <v>24</v>
      </c>
      <c r="F74" t="s">
        <v>24</v>
      </c>
      <c r="G74" t="s">
        <v>135</v>
      </c>
      <c r="H74">
        <v>1974</v>
      </c>
      <c r="I74">
        <v>1</v>
      </c>
      <c r="J74" s="2" t="s">
        <v>89</v>
      </c>
      <c r="M74" s="5" t="str">
        <v>Weis,J.S., and P. Weis (1995). Effects of Embryonic Exposure to Methylmercury on Larval Prey-Capture Ability in the Mummichog, Fundulus heteroclitus. Environ. Toxicol. Chem., 14, (1), 153-156. ECOREF#:13726</v>
      </c>
    </row>
    <row r="75" spans="1:13" x14ac:dyDescent="0.25">
      <c r="A75">
        <v>7646799</v>
      </c>
      <c r="B75" t="s">
        <v>146</v>
      </c>
      <c r="C75" t="s">
        <v>253</v>
      </c>
      <c r="D75" t="s">
        <v>10</v>
      </c>
      <c r="E75" t="s">
        <v>24</v>
      </c>
      <c r="F75" t="s">
        <v>24</v>
      </c>
      <c r="G75" t="s">
        <v>13</v>
      </c>
      <c r="H75">
        <v>1974</v>
      </c>
      <c r="I75">
        <v>1</v>
      </c>
      <c r="J75" s="2" t="s">
        <v>89</v>
      </c>
      <c r="M75" s="2" t="str">
        <v>Weis,J.S., M. Renna, and S. Vaidya (1987). Mercury Tolerance in Killifish: A Stage-Specific Phenomenon. In: J.M.Capuzzo and D.R.Kester (Eds.), Oceanic Processes Marine Pollution, Biol.Processes and Wastes in the Ocean, Robert E.Krieger Publ.Co., Malabar, FL, 1, 31-36. ECOREF#:4602</v>
      </c>
    </row>
    <row r="76" spans="1:13" x14ac:dyDescent="0.25">
      <c r="A76">
        <v>7646799</v>
      </c>
      <c r="B76" t="s">
        <v>146</v>
      </c>
      <c r="C76" t="s">
        <v>253</v>
      </c>
      <c r="D76" t="s">
        <v>10</v>
      </c>
      <c r="E76" t="s">
        <v>49</v>
      </c>
      <c r="F76" t="s">
        <v>50</v>
      </c>
      <c r="G76" t="s">
        <v>90</v>
      </c>
      <c r="H76">
        <v>1974</v>
      </c>
      <c r="I76">
        <v>4</v>
      </c>
      <c r="J76" s="2" t="s">
        <v>89</v>
      </c>
      <c r="M76" s="2" t="str">
        <v>Weis,J.S., P. Weis, and J.L. Ricci (1981). Effects of Cadmium, Zinc, Salinity, and Temperature on the Teratogenicity of Methylmercury to the Killifish (Fundulus heteroclitus). Rapp. P. V. Reun. Comm. Int. Explor. Sci. Mer Mediterr. (Multiple Languages), 178, 64-70. ECOREF#:11419</v>
      </c>
    </row>
    <row r="77" spans="1:13" x14ac:dyDescent="0.25">
      <c r="A77">
        <v>7718549</v>
      </c>
      <c r="B77" t="s">
        <v>158</v>
      </c>
      <c r="C77" t="s">
        <v>256</v>
      </c>
      <c r="D77" t="s">
        <v>10</v>
      </c>
      <c r="E77" t="s">
        <v>24</v>
      </c>
      <c r="F77" t="s">
        <v>24</v>
      </c>
      <c r="G77" t="s">
        <v>13</v>
      </c>
      <c r="H77">
        <v>1974</v>
      </c>
      <c r="I77">
        <v>2</v>
      </c>
      <c r="J77" s="2" t="s">
        <v>89</v>
      </c>
      <c r="M77" s="5" t="str">
        <v>Weis,J.S., P. Weis, M. Heber, and S. Vaidya (1981). Methylmercury Tolerance of Killifish (Fundulus heteroclitus) Embryos from a Polluted vs Non-Polluted Environment. Mar. Biol. (Multiple Languages), 65, (3), 283-287. doi:10.1007/BF00397123. ECOREF#:4845</v>
      </c>
    </row>
    <row r="78" spans="1:13" x14ac:dyDescent="0.25">
      <c r="A78">
        <v>7718549</v>
      </c>
      <c r="B78" t="s">
        <v>158</v>
      </c>
      <c r="C78" t="s">
        <v>256</v>
      </c>
      <c r="D78" t="s">
        <v>10</v>
      </c>
      <c r="E78" t="s">
        <v>49</v>
      </c>
      <c r="F78" t="s">
        <v>50</v>
      </c>
      <c r="G78" t="s">
        <v>90</v>
      </c>
      <c r="H78">
        <v>1974</v>
      </c>
      <c r="I78">
        <v>2</v>
      </c>
      <c r="J78" s="2" t="s">
        <v>89</v>
      </c>
      <c r="M78" s="2" t="str">
        <v>Weis,J.S., P. Weis, M. Renna, and S. Vaidya (1985). Search for a Physiological Component of Methylmercury Tolerance in the Mummichog, Fundulus heteroclitus. In: F.J.Vernberg, F.Thurberg, A.Calabrese, and W.B.Vernberg (Eds.), Marine Pollution and Physiology: Recent Advances, Univ.South Carolina Press, Columbia,SC, 309-326. ECOREF#:11418</v>
      </c>
    </row>
    <row r="79" spans="1:13" x14ac:dyDescent="0.25">
      <c r="A79">
        <v>10108642</v>
      </c>
      <c r="B79" t="s">
        <v>204</v>
      </c>
      <c r="C79" t="s">
        <v>82</v>
      </c>
      <c r="D79" t="s">
        <v>10</v>
      </c>
      <c r="E79" t="s">
        <v>49</v>
      </c>
      <c r="F79" t="s">
        <v>50</v>
      </c>
      <c r="G79" t="s">
        <v>90</v>
      </c>
      <c r="H79">
        <v>1974</v>
      </c>
      <c r="I79">
        <v>1</v>
      </c>
      <c r="J79" s="2" t="s">
        <v>89</v>
      </c>
      <c r="M79" s="5" t="str">
        <v>Weis,P. (1984). Metallothionein and Mercury Tolerance in the Killifish, Fundulus heteroclitus. Mar. Environ. Res., 14, (1-4), 153-166. doi:10.1016/0141-1136(84)90076-X. ECOREF#:11357</v>
      </c>
    </row>
    <row r="80" spans="1:13" x14ac:dyDescent="0.25">
      <c r="A80">
        <v>7447394</v>
      </c>
      <c r="B80" t="s">
        <v>112</v>
      </c>
      <c r="C80" t="s">
        <v>101</v>
      </c>
      <c r="D80" t="s">
        <v>10</v>
      </c>
      <c r="E80" t="s">
        <v>49</v>
      </c>
      <c r="F80" t="s">
        <v>51</v>
      </c>
      <c r="G80" t="s">
        <v>13</v>
      </c>
      <c r="H80">
        <v>1973</v>
      </c>
      <c r="I80">
        <v>1</v>
      </c>
      <c r="J80" s="2" t="s">
        <v>116</v>
      </c>
      <c r="M80" s="5" t="str">
        <v>Weis,P., and J.S. Weis (1977). Methylmercury Teratogenesis in the Killifish, Fundulus heteroclitus. Teratology, 16, (3), 317-326. doi:10.1002/tera.1420160311. ECOREF#:7712</v>
      </c>
    </row>
    <row r="81" spans="1:17" x14ac:dyDescent="0.25">
      <c r="A81">
        <v>7646857</v>
      </c>
      <c r="B81" t="s">
        <v>147</v>
      </c>
      <c r="C81" t="s">
        <v>259</v>
      </c>
      <c r="D81" t="s">
        <v>10</v>
      </c>
      <c r="E81" t="s">
        <v>49</v>
      </c>
      <c r="F81" t="s">
        <v>51</v>
      </c>
      <c r="G81" t="s">
        <v>13</v>
      </c>
      <c r="H81">
        <v>1973</v>
      </c>
      <c r="I81">
        <v>1</v>
      </c>
      <c r="J81" s="2" t="s">
        <v>116</v>
      </c>
      <c r="M81" s="2" t="str">
        <v>Weis,P., and J.S. Weis (1980). Effect of Zinc on Fin Regeneration in the Mummichog Fundulus heteroclitus, and its Interaction with Methylmercury. Fish. Bull., 78, (1), 163-166. ECOREF#:9922</v>
      </c>
    </row>
    <row r="82" spans="1:17" x14ac:dyDescent="0.25">
      <c r="A82">
        <v>7487947</v>
      </c>
      <c r="B82" t="s">
        <v>117</v>
      </c>
      <c r="C82" t="s">
        <v>76</v>
      </c>
      <c r="D82" t="s">
        <v>10</v>
      </c>
      <c r="E82" t="s">
        <v>24</v>
      </c>
      <c r="F82" t="s">
        <v>24</v>
      </c>
      <c r="G82" t="s">
        <v>32</v>
      </c>
      <c r="H82">
        <v>1977</v>
      </c>
      <c r="I82">
        <v>3</v>
      </c>
      <c r="J82" s="2" t="s">
        <v>125</v>
      </c>
      <c r="M82" s="5" t="str">
        <v>Weis,P., and J.S. Weis (1982). Toxicity of Methylmercury, Mercuric Chloride, and Lead in Killifish (Fundulus heteroclitus) from Southampton, New York. Environ. Res., 28, (2), 364-374. doi:10.1016/0013-9351(82)90135-9. ECOREF#:15614</v>
      </c>
    </row>
    <row r="83" spans="1:17" x14ac:dyDescent="0.25">
      <c r="A83">
        <v>7646857</v>
      </c>
      <c r="B83" t="s">
        <v>147</v>
      </c>
      <c r="C83" t="s">
        <v>259</v>
      </c>
      <c r="D83" t="s">
        <v>10</v>
      </c>
      <c r="E83" t="s">
        <v>24</v>
      </c>
      <c r="F83" t="s">
        <v>24</v>
      </c>
      <c r="G83" t="s">
        <v>32</v>
      </c>
      <c r="H83">
        <v>1977</v>
      </c>
      <c r="I83">
        <v>3</v>
      </c>
      <c r="J83" s="2" t="s">
        <v>125</v>
      </c>
      <c r="M83" s="5" t="str">
        <v>Weis,P., and J.S. Weis (1983). Effects of Embryonic Pre-Exposure to Methylmercury and HG2+ on Larval Tolerance in Fundulus heteroclitus. Bull. Environ. Contam. Toxicol., 31(5), 530-534. doi:10.1007/BF01605470. ECOREF#:10136</v>
      </c>
    </row>
    <row r="84" spans="1:17" x14ac:dyDescent="0.25">
      <c r="A84">
        <v>7718549</v>
      </c>
      <c r="B84" t="s">
        <v>158</v>
      </c>
      <c r="C84" t="s">
        <v>256</v>
      </c>
      <c r="D84" t="s">
        <v>10</v>
      </c>
      <c r="E84" t="s">
        <v>24</v>
      </c>
      <c r="F84" t="s">
        <v>24</v>
      </c>
      <c r="G84" t="s">
        <v>32</v>
      </c>
      <c r="H84">
        <v>1977</v>
      </c>
      <c r="I84">
        <v>3</v>
      </c>
      <c r="J84" s="2" t="s">
        <v>125</v>
      </c>
      <c r="M84" s="5" t="str">
        <v>Weis,P., and J.S. Weis (1986). Cadmium Acclimation and Hormesis in Fundulus heteroclitus During Fin Regeneration. Environ. Res., 39, 356-363. doi:10.1016/S0013-9351(86)80061-5. ECOREF#:11420</v>
      </c>
    </row>
    <row r="85" spans="1:17" x14ac:dyDescent="0.25">
      <c r="A85">
        <v>7789006</v>
      </c>
      <c r="B85" t="s">
        <v>198</v>
      </c>
      <c r="C85" t="s">
        <v>92</v>
      </c>
      <c r="D85" t="s">
        <v>10</v>
      </c>
      <c r="E85" t="s">
        <v>24</v>
      </c>
      <c r="F85" t="s">
        <v>24</v>
      </c>
      <c r="G85" t="s">
        <v>32</v>
      </c>
      <c r="H85">
        <v>1977</v>
      </c>
      <c r="I85">
        <v>3</v>
      </c>
      <c r="J85" s="2" t="s">
        <v>125</v>
      </c>
      <c r="M85" s="5" t="str">
        <v>Zhou,T. (1997). Behavioral Development and Neurobehavioral Effects of Methylmercury on Larval Mummichogs, Fundulus heteroclitus from Polluted and Reference Environments. Ph.D.Thesis, Rutgers, The State University of New Jersey, New Brunswick, NJ, 249 p. ECOREF#:172112</v>
      </c>
    </row>
    <row r="86" spans="1:17" x14ac:dyDescent="0.25">
      <c r="A86">
        <v>10108642</v>
      </c>
      <c r="B86" t="s">
        <v>204</v>
      </c>
      <c r="C86" t="s">
        <v>82</v>
      </c>
      <c r="D86" t="s">
        <v>10</v>
      </c>
      <c r="E86" t="s">
        <v>24</v>
      </c>
      <c r="F86" t="s">
        <v>24</v>
      </c>
      <c r="G86" t="s">
        <v>32</v>
      </c>
      <c r="H86">
        <v>1977</v>
      </c>
      <c r="I86">
        <v>3</v>
      </c>
      <c r="J86" s="2" t="s">
        <v>125</v>
      </c>
      <c r="M86" s="5" t="str">
        <v>Zhou,T., and J.S. Weis (1998). Swimming Behavior and Predator Avoidance in Three Populations of Fundulus heteroclitus Larvae After Embryonic and/or Larval Exposure to Methylmercury. Aquat. Toxicol., 43, (2/3), 131-148. doi:10.1016/S0166-445X(98)00052-6. ECOREF#:19282</v>
      </c>
    </row>
    <row r="87" spans="1:17" x14ac:dyDescent="0.25">
      <c r="A87">
        <v>10108642</v>
      </c>
      <c r="B87" t="s">
        <v>204</v>
      </c>
      <c r="C87" t="s">
        <v>82</v>
      </c>
      <c r="D87" t="s">
        <v>10</v>
      </c>
      <c r="E87" t="s">
        <v>49</v>
      </c>
      <c r="F87" t="s">
        <v>51</v>
      </c>
      <c r="G87" t="s">
        <v>13</v>
      </c>
      <c r="H87">
        <v>1972</v>
      </c>
      <c r="I87">
        <v>1</v>
      </c>
      <c r="J87" s="2" t="s">
        <v>216</v>
      </c>
      <c r="M87" s="2" t="str">
        <v>Zhou,T., P. Weis, and J.S. Weis (1998). Mercury Burden in Two Populations of Fundulus heteroclitus After Sublethal Methylmercury Exposure. Aquat. Toxicol., 42, (1), 37-47. doi:10.1016/S0166-445X(97)00101-X. ECOREF#:19151</v>
      </c>
    </row>
    <row r="88" spans="1:17" x14ac:dyDescent="0.25">
      <c r="A88">
        <v>7447394</v>
      </c>
      <c r="B88" t="s">
        <v>112</v>
      </c>
      <c r="C88" t="s">
        <v>101</v>
      </c>
      <c r="D88" t="s">
        <v>10</v>
      </c>
      <c r="E88" t="s">
        <v>64</v>
      </c>
      <c r="F88" t="s">
        <v>65</v>
      </c>
      <c r="G88" t="s">
        <v>13</v>
      </c>
      <c r="H88">
        <v>1975</v>
      </c>
      <c r="I88">
        <v>1</v>
      </c>
      <c r="J88" s="2" t="s">
        <v>113</v>
      </c>
      <c r="M88" s="5" t="str">
        <v>Zhou,T., R. Scali, P. Weis, and J.S. Weis (1996). Behavioral Effects in Mummichog Larvae (Fundulus heteroclitus) Following Embryonic Exposure to Methylmercury. Mar. Environ. Res., 42, (1-4), 45-49. doi:10.1016/0141-1136(95)00048-8. ECOREF#:18706</v>
      </c>
    </row>
    <row r="89" spans="1:17" x14ac:dyDescent="0.25">
      <c r="A89">
        <v>7487947</v>
      </c>
      <c r="B89" t="s">
        <v>117</v>
      </c>
      <c r="C89" t="s">
        <v>76</v>
      </c>
      <c r="D89" t="s">
        <v>10</v>
      </c>
      <c r="E89" t="s">
        <v>64</v>
      </c>
      <c r="F89" t="s">
        <v>65</v>
      </c>
      <c r="G89" t="s">
        <v>13</v>
      </c>
      <c r="H89">
        <v>1975</v>
      </c>
      <c r="I89">
        <v>1</v>
      </c>
      <c r="J89" s="2" t="s">
        <v>113</v>
      </c>
      <c r="M89" s="2">
        <v>0</v>
      </c>
    </row>
    <row r="90" spans="1:17" x14ac:dyDescent="0.25">
      <c r="A90">
        <v>10108642</v>
      </c>
      <c r="B90" t="s">
        <v>204</v>
      </c>
      <c r="C90" t="s">
        <v>82</v>
      </c>
      <c r="D90" t="s">
        <v>10</v>
      </c>
      <c r="E90" t="s">
        <v>24</v>
      </c>
      <c r="F90" t="s">
        <v>24</v>
      </c>
      <c r="G90" t="s">
        <v>13</v>
      </c>
      <c r="H90">
        <v>1975</v>
      </c>
      <c r="I90">
        <v>1</v>
      </c>
      <c r="J90" s="2" t="s">
        <v>113</v>
      </c>
    </row>
    <row r="91" spans="1:17" x14ac:dyDescent="0.25">
      <c r="A91">
        <v>10108642</v>
      </c>
      <c r="B91" t="s">
        <v>204</v>
      </c>
      <c r="C91" t="s">
        <v>82</v>
      </c>
      <c r="D91" t="s">
        <v>10</v>
      </c>
      <c r="E91" t="s">
        <v>64</v>
      </c>
      <c r="F91" t="s">
        <v>65</v>
      </c>
      <c r="G91" t="s">
        <v>13</v>
      </c>
      <c r="H91">
        <v>1975</v>
      </c>
      <c r="I91">
        <v>1</v>
      </c>
      <c r="J91" s="2" t="s">
        <v>113</v>
      </c>
    </row>
    <row r="92" spans="1:17" x14ac:dyDescent="0.25">
      <c r="A92">
        <v>1344678</v>
      </c>
      <c r="B92" t="s">
        <v>60</v>
      </c>
      <c r="C92" t="s">
        <v>101</v>
      </c>
      <c r="D92" t="s">
        <v>10</v>
      </c>
      <c r="E92" t="s">
        <v>24</v>
      </c>
      <c r="F92" t="s">
        <v>24</v>
      </c>
      <c r="G92" t="s">
        <v>61</v>
      </c>
      <c r="H92">
        <v>1973</v>
      </c>
      <c r="I92">
        <v>1</v>
      </c>
      <c r="J92" s="2" t="s">
        <v>62</v>
      </c>
    </row>
    <row r="93" spans="1:17" x14ac:dyDescent="0.25">
      <c r="A93">
        <v>1344678</v>
      </c>
      <c r="B93" t="s">
        <v>60</v>
      </c>
      <c r="C93" t="s">
        <v>101</v>
      </c>
      <c r="D93" t="s">
        <v>10</v>
      </c>
      <c r="E93" t="s">
        <v>24</v>
      </c>
      <c r="F93" t="s">
        <v>24</v>
      </c>
      <c r="G93" t="s">
        <v>13</v>
      </c>
      <c r="H93">
        <v>1973</v>
      </c>
      <c r="I93">
        <v>2</v>
      </c>
      <c r="J93" s="2" t="s">
        <v>62</v>
      </c>
      <c r="P93" s="1" t="s">
        <v>1</v>
      </c>
      <c r="Q93" s="1" t="s">
        <v>261</v>
      </c>
    </row>
    <row r="94" spans="1:17" x14ac:dyDescent="0.25">
      <c r="A94">
        <v>1344678</v>
      </c>
      <c r="B94" t="s">
        <v>60</v>
      </c>
      <c r="C94" t="s">
        <v>101</v>
      </c>
      <c r="D94" t="s">
        <v>10</v>
      </c>
      <c r="E94" t="s">
        <v>24</v>
      </c>
      <c r="F94" t="s">
        <v>24</v>
      </c>
      <c r="G94" t="s">
        <v>32</v>
      </c>
      <c r="H94">
        <v>1973</v>
      </c>
      <c r="I94">
        <v>3</v>
      </c>
      <c r="J94" s="2" t="s">
        <v>62</v>
      </c>
      <c r="P94" t="s">
        <v>134</v>
      </c>
      <c r="Q94" t="s">
        <v>252</v>
      </c>
    </row>
    <row r="95" spans="1:17" x14ac:dyDescent="0.25">
      <c r="A95">
        <v>1344678</v>
      </c>
      <c r="B95" t="s">
        <v>60</v>
      </c>
      <c r="C95" t="s">
        <v>101</v>
      </c>
      <c r="D95" t="s">
        <v>10</v>
      </c>
      <c r="E95" t="s">
        <v>64</v>
      </c>
      <c r="F95" t="s">
        <v>65</v>
      </c>
      <c r="G95" t="s">
        <v>13</v>
      </c>
      <c r="H95">
        <v>1973</v>
      </c>
      <c r="I95">
        <v>3</v>
      </c>
      <c r="J95" s="2" t="s">
        <v>62</v>
      </c>
      <c r="P95" t="s">
        <v>163</v>
      </c>
      <c r="Q95" t="s">
        <v>101</v>
      </c>
    </row>
    <row r="96" spans="1:17" x14ac:dyDescent="0.25">
      <c r="A96">
        <v>1344678</v>
      </c>
      <c r="B96" t="s">
        <v>60</v>
      </c>
      <c r="C96" t="s">
        <v>101</v>
      </c>
      <c r="D96" t="s">
        <v>10</v>
      </c>
      <c r="E96" t="s">
        <v>66</v>
      </c>
      <c r="F96" t="s">
        <v>67</v>
      </c>
      <c r="G96" t="s">
        <v>13</v>
      </c>
      <c r="H96">
        <v>1973</v>
      </c>
      <c r="I96">
        <v>1</v>
      </c>
      <c r="J96" s="2" t="s">
        <v>62</v>
      </c>
      <c r="P96" t="s">
        <v>147</v>
      </c>
      <c r="Q96" t="s">
        <v>259</v>
      </c>
    </row>
    <row r="97" spans="1:17" x14ac:dyDescent="0.25">
      <c r="A97">
        <v>7784465</v>
      </c>
      <c r="B97" t="s">
        <v>169</v>
      </c>
      <c r="C97" t="s">
        <v>252</v>
      </c>
      <c r="D97" t="s">
        <v>10</v>
      </c>
      <c r="E97" t="s">
        <v>24</v>
      </c>
      <c r="F97" t="s">
        <v>126</v>
      </c>
      <c r="G97" t="s">
        <v>16</v>
      </c>
      <c r="H97">
        <v>2012</v>
      </c>
      <c r="I97">
        <v>2</v>
      </c>
      <c r="J97" s="2" t="s">
        <v>178</v>
      </c>
      <c r="P97" t="s">
        <v>101</v>
      </c>
      <c r="Q97" t="s">
        <v>101</v>
      </c>
    </row>
    <row r="98" spans="1:17" x14ac:dyDescent="0.25">
      <c r="A98">
        <v>7784465</v>
      </c>
      <c r="B98" t="s">
        <v>169</v>
      </c>
      <c r="C98" t="s">
        <v>252</v>
      </c>
      <c r="D98" t="s">
        <v>10</v>
      </c>
      <c r="E98" t="s">
        <v>24</v>
      </c>
      <c r="F98" t="s">
        <v>126</v>
      </c>
      <c r="G98" t="s">
        <v>26</v>
      </c>
      <c r="H98">
        <v>2012</v>
      </c>
      <c r="I98">
        <v>1</v>
      </c>
      <c r="J98" s="2" t="s">
        <v>178</v>
      </c>
      <c r="P98" t="s">
        <v>204</v>
      </c>
      <c r="Q98" t="s">
        <v>82</v>
      </c>
    </row>
    <row r="99" spans="1:17" x14ac:dyDescent="0.25">
      <c r="A99">
        <v>7784465</v>
      </c>
      <c r="B99" t="s">
        <v>169</v>
      </c>
      <c r="C99" t="s">
        <v>252</v>
      </c>
      <c r="D99" t="s">
        <v>10</v>
      </c>
      <c r="E99" t="s">
        <v>128</v>
      </c>
      <c r="F99" t="s">
        <v>179</v>
      </c>
      <c r="G99" t="s">
        <v>16</v>
      </c>
      <c r="H99">
        <v>2012</v>
      </c>
      <c r="I99">
        <v>1</v>
      </c>
      <c r="J99" s="2" t="s">
        <v>178</v>
      </c>
      <c r="P99" t="s">
        <v>169</v>
      </c>
      <c r="Q99" t="s">
        <v>252</v>
      </c>
    </row>
    <row r="100" spans="1:17" x14ac:dyDescent="0.25">
      <c r="A100">
        <v>7784465</v>
      </c>
      <c r="B100" t="s">
        <v>169</v>
      </c>
      <c r="C100" t="s">
        <v>252</v>
      </c>
      <c r="D100" t="s">
        <v>10</v>
      </c>
      <c r="E100" t="s">
        <v>128</v>
      </c>
      <c r="F100" t="s">
        <v>180</v>
      </c>
      <c r="G100" t="s">
        <v>16</v>
      </c>
      <c r="H100">
        <v>2012</v>
      </c>
      <c r="I100">
        <v>2</v>
      </c>
      <c r="J100" s="2" t="s">
        <v>178</v>
      </c>
      <c r="P100" t="s">
        <v>60</v>
      </c>
      <c r="Q100" t="s">
        <v>101</v>
      </c>
    </row>
    <row r="101" spans="1:17" x14ac:dyDescent="0.25">
      <c r="A101">
        <v>7784465</v>
      </c>
      <c r="B101" t="s">
        <v>169</v>
      </c>
      <c r="C101" t="s">
        <v>252</v>
      </c>
      <c r="D101" t="s">
        <v>10</v>
      </c>
      <c r="E101" t="s">
        <v>128</v>
      </c>
      <c r="F101" t="s">
        <v>180</v>
      </c>
      <c r="G101" t="s">
        <v>26</v>
      </c>
      <c r="H101">
        <v>2012</v>
      </c>
      <c r="I101">
        <v>4</v>
      </c>
      <c r="J101" s="2" t="s">
        <v>178</v>
      </c>
      <c r="P101" t="s">
        <v>111</v>
      </c>
      <c r="Q101" t="s">
        <v>251</v>
      </c>
    </row>
    <row r="102" spans="1:17" x14ac:dyDescent="0.25">
      <c r="A102">
        <v>7784465</v>
      </c>
      <c r="B102" t="s">
        <v>169</v>
      </c>
      <c r="C102" t="s">
        <v>252</v>
      </c>
      <c r="D102" t="s">
        <v>10</v>
      </c>
      <c r="E102" t="s">
        <v>33</v>
      </c>
      <c r="F102" t="s">
        <v>183</v>
      </c>
      <c r="G102" t="s">
        <v>16</v>
      </c>
      <c r="H102">
        <v>2012</v>
      </c>
      <c r="I102">
        <v>1</v>
      </c>
      <c r="J102" s="2" t="s">
        <v>178</v>
      </c>
      <c r="P102" t="s">
        <v>117</v>
      </c>
      <c r="Q102" t="s">
        <v>76</v>
      </c>
    </row>
    <row r="103" spans="1:17" x14ac:dyDescent="0.25">
      <c r="A103">
        <v>7784465</v>
      </c>
      <c r="B103" t="s">
        <v>169</v>
      </c>
      <c r="C103" t="s">
        <v>252</v>
      </c>
      <c r="D103" t="s">
        <v>10</v>
      </c>
      <c r="E103" t="s">
        <v>93</v>
      </c>
      <c r="F103" t="s">
        <v>184</v>
      </c>
      <c r="G103" t="s">
        <v>16</v>
      </c>
      <c r="H103">
        <v>2012</v>
      </c>
      <c r="I103">
        <v>3</v>
      </c>
      <c r="J103" s="2" t="s">
        <v>178</v>
      </c>
      <c r="P103" t="s">
        <v>133</v>
      </c>
      <c r="Q103" t="s">
        <v>253</v>
      </c>
    </row>
    <row r="104" spans="1:17" x14ac:dyDescent="0.25">
      <c r="A104">
        <v>7784465</v>
      </c>
      <c r="B104" t="s">
        <v>169</v>
      </c>
      <c r="C104" t="s">
        <v>252</v>
      </c>
      <c r="D104" t="s">
        <v>10</v>
      </c>
      <c r="E104" t="s">
        <v>93</v>
      </c>
      <c r="F104" t="s">
        <v>187</v>
      </c>
      <c r="G104" t="s">
        <v>26</v>
      </c>
      <c r="H104">
        <v>2012</v>
      </c>
      <c r="I104">
        <v>1</v>
      </c>
      <c r="J104" s="2" t="s">
        <v>178</v>
      </c>
      <c r="P104" t="s">
        <v>146</v>
      </c>
      <c r="Q104" t="s">
        <v>253</v>
      </c>
    </row>
    <row r="105" spans="1:17" x14ac:dyDescent="0.25">
      <c r="A105">
        <v>7784465</v>
      </c>
      <c r="B105" t="s">
        <v>169</v>
      </c>
      <c r="C105" t="s">
        <v>252</v>
      </c>
      <c r="D105" t="s">
        <v>10</v>
      </c>
      <c r="E105" t="s">
        <v>93</v>
      </c>
      <c r="F105" t="s">
        <v>188</v>
      </c>
      <c r="G105" t="s">
        <v>26</v>
      </c>
      <c r="H105">
        <v>2012</v>
      </c>
      <c r="I105">
        <v>1</v>
      </c>
      <c r="J105" s="2" t="s">
        <v>178</v>
      </c>
      <c r="P105" t="s">
        <v>157</v>
      </c>
      <c r="Q105" t="s">
        <v>254</v>
      </c>
    </row>
    <row r="106" spans="1:17" x14ac:dyDescent="0.25">
      <c r="A106">
        <v>7784465</v>
      </c>
      <c r="B106" t="s">
        <v>169</v>
      </c>
      <c r="C106" t="s">
        <v>252</v>
      </c>
      <c r="D106" t="s">
        <v>10</v>
      </c>
      <c r="E106" t="s">
        <v>93</v>
      </c>
      <c r="F106" t="s">
        <v>190</v>
      </c>
      <c r="G106" t="s">
        <v>16</v>
      </c>
      <c r="H106">
        <v>2012</v>
      </c>
      <c r="I106">
        <v>2</v>
      </c>
      <c r="J106" s="2" t="s">
        <v>178</v>
      </c>
      <c r="P106" t="s">
        <v>159</v>
      </c>
      <c r="Q106" t="s">
        <v>259</v>
      </c>
    </row>
    <row r="107" spans="1:17" x14ac:dyDescent="0.25">
      <c r="A107">
        <v>7784465</v>
      </c>
      <c r="B107" t="s">
        <v>169</v>
      </c>
      <c r="C107" t="s">
        <v>252</v>
      </c>
      <c r="D107" t="s">
        <v>10</v>
      </c>
      <c r="E107" t="s">
        <v>93</v>
      </c>
      <c r="F107" t="s">
        <v>190</v>
      </c>
      <c r="G107" t="s">
        <v>26</v>
      </c>
      <c r="H107">
        <v>2012</v>
      </c>
      <c r="I107">
        <v>1</v>
      </c>
      <c r="J107" s="2" t="s">
        <v>178</v>
      </c>
      <c r="P107" t="s">
        <v>167</v>
      </c>
      <c r="Q107" t="s">
        <v>76</v>
      </c>
    </row>
    <row r="108" spans="1:17" x14ac:dyDescent="0.25">
      <c r="A108">
        <v>7784465</v>
      </c>
      <c r="B108" t="s">
        <v>169</v>
      </c>
      <c r="C108" t="s">
        <v>252</v>
      </c>
      <c r="D108" t="s">
        <v>10</v>
      </c>
      <c r="E108" t="s">
        <v>93</v>
      </c>
      <c r="F108" t="s">
        <v>191</v>
      </c>
      <c r="G108" t="s">
        <v>16</v>
      </c>
      <c r="H108">
        <v>2012</v>
      </c>
      <c r="I108">
        <v>2</v>
      </c>
      <c r="J108" s="2" t="s">
        <v>178</v>
      </c>
      <c r="P108" t="s">
        <v>168</v>
      </c>
      <c r="Q108" t="s">
        <v>251</v>
      </c>
    </row>
    <row r="109" spans="1:17" x14ac:dyDescent="0.25">
      <c r="A109">
        <v>7784465</v>
      </c>
      <c r="B109" t="s">
        <v>169</v>
      </c>
      <c r="C109" t="s">
        <v>252</v>
      </c>
      <c r="D109" t="s">
        <v>10</v>
      </c>
      <c r="E109" t="s">
        <v>93</v>
      </c>
      <c r="F109" t="s">
        <v>191</v>
      </c>
      <c r="G109" t="s">
        <v>26</v>
      </c>
      <c r="H109">
        <v>2012</v>
      </c>
      <c r="I109">
        <v>2</v>
      </c>
      <c r="J109" s="2" t="s">
        <v>178</v>
      </c>
      <c r="P109" t="s">
        <v>198</v>
      </c>
      <c r="Q109" t="s">
        <v>92</v>
      </c>
    </row>
    <row r="110" spans="1:17" x14ac:dyDescent="0.25">
      <c r="A110">
        <v>7784465</v>
      </c>
      <c r="B110" t="s">
        <v>169</v>
      </c>
      <c r="C110" t="s">
        <v>252</v>
      </c>
      <c r="D110" t="s">
        <v>10</v>
      </c>
      <c r="E110" t="s">
        <v>93</v>
      </c>
      <c r="F110" t="s">
        <v>193</v>
      </c>
      <c r="G110" t="s">
        <v>16</v>
      </c>
      <c r="H110">
        <v>2012</v>
      </c>
      <c r="I110">
        <v>2</v>
      </c>
      <c r="J110" s="2" t="s">
        <v>178</v>
      </c>
      <c r="P110" t="s">
        <v>199</v>
      </c>
      <c r="Q110" t="s">
        <v>258</v>
      </c>
    </row>
    <row r="111" spans="1:17" x14ac:dyDescent="0.25">
      <c r="A111">
        <v>7784465</v>
      </c>
      <c r="B111" t="s">
        <v>169</v>
      </c>
      <c r="C111" t="s">
        <v>252</v>
      </c>
      <c r="D111" t="s">
        <v>10</v>
      </c>
      <c r="E111" t="s">
        <v>93</v>
      </c>
      <c r="F111" t="s">
        <v>193</v>
      </c>
      <c r="G111" t="s">
        <v>26</v>
      </c>
      <c r="H111">
        <v>2012</v>
      </c>
      <c r="I111">
        <v>1</v>
      </c>
      <c r="J111" s="2" t="s">
        <v>178</v>
      </c>
      <c r="P111" t="s">
        <v>201</v>
      </c>
      <c r="Q111" t="s">
        <v>254</v>
      </c>
    </row>
    <row r="112" spans="1:17" x14ac:dyDescent="0.25">
      <c r="A112">
        <v>7784465</v>
      </c>
      <c r="B112" t="s">
        <v>169</v>
      </c>
      <c r="C112" t="s">
        <v>252</v>
      </c>
      <c r="D112" t="s">
        <v>10</v>
      </c>
      <c r="E112" t="s">
        <v>49</v>
      </c>
      <c r="F112" t="s">
        <v>50</v>
      </c>
      <c r="G112" t="s">
        <v>16</v>
      </c>
      <c r="H112">
        <v>2012</v>
      </c>
      <c r="I112">
        <v>1</v>
      </c>
      <c r="J112" s="2" t="s">
        <v>178</v>
      </c>
      <c r="P112" t="s">
        <v>202</v>
      </c>
      <c r="Q112" t="s">
        <v>68</v>
      </c>
    </row>
    <row r="113" spans="1:17" x14ac:dyDescent="0.25">
      <c r="A113">
        <v>7784465</v>
      </c>
      <c r="B113" t="s">
        <v>169</v>
      </c>
      <c r="C113" t="s">
        <v>252</v>
      </c>
      <c r="D113" t="s">
        <v>10</v>
      </c>
      <c r="E113" t="s">
        <v>49</v>
      </c>
      <c r="F113" t="s">
        <v>50</v>
      </c>
      <c r="G113" t="s">
        <v>26</v>
      </c>
      <c r="H113">
        <v>2012</v>
      </c>
      <c r="I113">
        <v>1</v>
      </c>
      <c r="J113" s="2" t="s">
        <v>178</v>
      </c>
      <c r="P113" t="s">
        <v>217</v>
      </c>
      <c r="Q113" t="s">
        <v>76</v>
      </c>
    </row>
    <row r="114" spans="1:17" x14ac:dyDescent="0.25">
      <c r="A114">
        <v>10108642</v>
      </c>
      <c r="B114" t="s">
        <v>204</v>
      </c>
      <c r="C114" t="s">
        <v>82</v>
      </c>
      <c r="D114" t="s">
        <v>10</v>
      </c>
      <c r="E114" t="s">
        <v>24</v>
      </c>
      <c r="F114" t="s">
        <v>24</v>
      </c>
      <c r="G114" t="s">
        <v>123</v>
      </c>
      <c r="H114">
        <v>1992</v>
      </c>
      <c r="I114">
        <v>3</v>
      </c>
      <c r="J114" s="2" t="s">
        <v>206</v>
      </c>
      <c r="P114" t="s">
        <v>219</v>
      </c>
      <c r="Q114" t="s">
        <v>254</v>
      </c>
    </row>
    <row r="115" spans="1:17" x14ac:dyDescent="0.25">
      <c r="A115">
        <v>7784465</v>
      </c>
      <c r="B115" t="s">
        <v>169</v>
      </c>
      <c r="C115" t="s">
        <v>252</v>
      </c>
      <c r="D115" t="s">
        <v>10</v>
      </c>
      <c r="E115" t="s">
        <v>11</v>
      </c>
      <c r="F115" t="s">
        <v>170</v>
      </c>
      <c r="G115" t="s">
        <v>16</v>
      </c>
      <c r="H115">
        <v>2007</v>
      </c>
      <c r="I115">
        <v>1</v>
      </c>
      <c r="J115" s="2" t="s">
        <v>171</v>
      </c>
      <c r="P115" t="s">
        <v>248</v>
      </c>
      <c r="Q115" t="s">
        <v>256</v>
      </c>
    </row>
    <row r="116" spans="1:17" x14ac:dyDescent="0.25">
      <c r="A116">
        <v>7784465</v>
      </c>
      <c r="B116" t="s">
        <v>169</v>
      </c>
      <c r="C116" t="s">
        <v>252</v>
      </c>
      <c r="D116" t="s">
        <v>10</v>
      </c>
      <c r="E116" t="s">
        <v>11</v>
      </c>
      <c r="F116" t="s">
        <v>173</v>
      </c>
      <c r="G116" t="s">
        <v>16</v>
      </c>
      <c r="H116">
        <v>2007</v>
      </c>
      <c r="I116">
        <v>1</v>
      </c>
      <c r="J116" s="2" t="s">
        <v>171</v>
      </c>
      <c r="P116" t="s">
        <v>82</v>
      </c>
      <c r="Q116" t="s">
        <v>82</v>
      </c>
    </row>
    <row r="117" spans="1:17" x14ac:dyDescent="0.25">
      <c r="A117">
        <v>7784465</v>
      </c>
      <c r="B117" t="s">
        <v>169</v>
      </c>
      <c r="C117" t="s">
        <v>252</v>
      </c>
      <c r="D117" t="s">
        <v>10</v>
      </c>
      <c r="E117" t="s">
        <v>11</v>
      </c>
      <c r="F117" t="s">
        <v>126</v>
      </c>
      <c r="G117" t="s">
        <v>16</v>
      </c>
      <c r="H117">
        <v>2007</v>
      </c>
      <c r="I117">
        <v>1</v>
      </c>
      <c r="J117" s="2" t="s">
        <v>171</v>
      </c>
      <c r="P117" t="s">
        <v>158</v>
      </c>
      <c r="Q117" t="s">
        <v>256</v>
      </c>
    </row>
    <row r="118" spans="1:17" x14ac:dyDescent="0.25">
      <c r="A118">
        <v>7784465</v>
      </c>
      <c r="B118" t="s">
        <v>169</v>
      </c>
      <c r="C118" t="s">
        <v>252</v>
      </c>
      <c r="D118" t="s">
        <v>10</v>
      </c>
      <c r="E118" t="s">
        <v>24</v>
      </c>
      <c r="F118" t="s">
        <v>25</v>
      </c>
      <c r="G118" t="s">
        <v>16</v>
      </c>
      <c r="H118">
        <v>2010</v>
      </c>
      <c r="I118">
        <v>1</v>
      </c>
      <c r="J118" s="2" t="s">
        <v>174</v>
      </c>
      <c r="P118" t="s">
        <v>112</v>
      </c>
      <c r="Q118" t="s">
        <v>101</v>
      </c>
    </row>
    <row r="119" spans="1:17" x14ac:dyDescent="0.25">
      <c r="A119">
        <v>7784465</v>
      </c>
      <c r="B119" t="s">
        <v>169</v>
      </c>
      <c r="C119" t="s">
        <v>252</v>
      </c>
      <c r="D119" t="s">
        <v>10</v>
      </c>
      <c r="E119" t="s">
        <v>93</v>
      </c>
      <c r="F119" t="s">
        <v>189</v>
      </c>
      <c r="G119" t="s">
        <v>26</v>
      </c>
      <c r="H119">
        <v>2010</v>
      </c>
      <c r="I119">
        <v>2</v>
      </c>
      <c r="J119" s="2" t="s">
        <v>174</v>
      </c>
      <c r="P119" t="s">
        <v>68</v>
      </c>
      <c r="Q119" t="s">
        <v>68</v>
      </c>
    </row>
    <row r="120" spans="1:17" x14ac:dyDescent="0.25">
      <c r="A120">
        <v>7784465</v>
      </c>
      <c r="B120" t="s">
        <v>169</v>
      </c>
      <c r="C120" t="s">
        <v>252</v>
      </c>
      <c r="D120" t="s">
        <v>10</v>
      </c>
      <c r="E120" t="s">
        <v>66</v>
      </c>
      <c r="F120" t="s">
        <v>39</v>
      </c>
      <c r="G120" t="s">
        <v>16</v>
      </c>
      <c r="H120">
        <v>2010</v>
      </c>
      <c r="I120">
        <v>2</v>
      </c>
      <c r="J120" s="2" t="s">
        <v>174</v>
      </c>
      <c r="P120" t="s">
        <v>76</v>
      </c>
      <c r="Q120" t="s">
        <v>76</v>
      </c>
    </row>
    <row r="121" spans="1:17" x14ac:dyDescent="0.25">
      <c r="A121">
        <v>7784465</v>
      </c>
      <c r="B121" t="s">
        <v>169</v>
      </c>
      <c r="C121" t="s">
        <v>252</v>
      </c>
      <c r="D121" t="s">
        <v>10</v>
      </c>
      <c r="E121" t="s">
        <v>66</v>
      </c>
      <c r="F121" t="s">
        <v>39</v>
      </c>
      <c r="G121" t="s">
        <v>26</v>
      </c>
      <c r="H121">
        <v>2010</v>
      </c>
      <c r="I121">
        <v>2</v>
      </c>
      <c r="J121" s="2" t="s">
        <v>174</v>
      </c>
      <c r="P121" t="s">
        <v>53</v>
      </c>
      <c r="Q121" t="s">
        <v>68</v>
      </c>
    </row>
    <row r="122" spans="1:17" x14ac:dyDescent="0.25">
      <c r="A122">
        <v>7784465</v>
      </c>
      <c r="B122" t="s">
        <v>169</v>
      </c>
      <c r="C122" t="s">
        <v>252</v>
      </c>
      <c r="D122" t="s">
        <v>10</v>
      </c>
      <c r="E122" t="s">
        <v>49</v>
      </c>
      <c r="F122" t="s">
        <v>50</v>
      </c>
      <c r="G122" t="s">
        <v>26</v>
      </c>
      <c r="H122">
        <v>2010</v>
      </c>
      <c r="I122">
        <v>1</v>
      </c>
      <c r="J122" s="2" t="s">
        <v>174</v>
      </c>
      <c r="P122" t="s">
        <v>229</v>
      </c>
      <c r="Q122" t="s">
        <v>76</v>
      </c>
    </row>
    <row r="123" spans="1:17" x14ac:dyDescent="0.25">
      <c r="A123">
        <v>7784465</v>
      </c>
      <c r="B123" t="s">
        <v>169</v>
      </c>
      <c r="C123" t="s">
        <v>252</v>
      </c>
      <c r="D123" t="s">
        <v>10</v>
      </c>
      <c r="E123" t="s">
        <v>11</v>
      </c>
      <c r="F123" t="s">
        <v>170</v>
      </c>
      <c r="G123" t="s">
        <v>16</v>
      </c>
      <c r="H123">
        <v>2006</v>
      </c>
      <c r="I123">
        <v>1</v>
      </c>
      <c r="J123" s="2" t="s">
        <v>172</v>
      </c>
      <c r="P123" t="s">
        <v>9</v>
      </c>
      <c r="Q123" t="s">
        <v>76</v>
      </c>
    </row>
    <row r="124" spans="1:17" x14ac:dyDescent="0.25">
      <c r="A124">
        <v>7784465</v>
      </c>
      <c r="B124" t="s">
        <v>169</v>
      </c>
      <c r="C124" t="s">
        <v>252</v>
      </c>
      <c r="D124" t="s">
        <v>10</v>
      </c>
      <c r="E124" t="s">
        <v>11</v>
      </c>
      <c r="F124" t="s">
        <v>173</v>
      </c>
      <c r="G124" t="s">
        <v>16</v>
      </c>
      <c r="H124">
        <v>2006</v>
      </c>
      <c r="I124">
        <v>1</v>
      </c>
      <c r="J124" s="2" t="s">
        <v>172</v>
      </c>
      <c r="P124" t="s">
        <v>218</v>
      </c>
      <c r="Q124" t="s">
        <v>82</v>
      </c>
    </row>
    <row r="125" spans="1:17" x14ac:dyDescent="0.25">
      <c r="A125">
        <v>7784465</v>
      </c>
      <c r="B125" t="s">
        <v>169</v>
      </c>
      <c r="C125" t="s">
        <v>252</v>
      </c>
      <c r="D125" t="s">
        <v>10</v>
      </c>
      <c r="E125" t="s">
        <v>11</v>
      </c>
      <c r="F125" t="s">
        <v>126</v>
      </c>
      <c r="G125" t="s">
        <v>16</v>
      </c>
      <c r="H125">
        <v>2006</v>
      </c>
      <c r="I125">
        <v>1</v>
      </c>
      <c r="J125" s="2" t="s">
        <v>172</v>
      </c>
      <c r="P125" t="s">
        <v>92</v>
      </c>
      <c r="Q125" t="s">
        <v>92</v>
      </c>
    </row>
    <row r="126" spans="1:17" x14ac:dyDescent="0.25">
      <c r="A126">
        <v>7784465</v>
      </c>
      <c r="B126" t="s">
        <v>169</v>
      </c>
      <c r="C126" t="s">
        <v>252</v>
      </c>
      <c r="D126" t="s">
        <v>10</v>
      </c>
      <c r="E126" t="s">
        <v>24</v>
      </c>
      <c r="F126" t="s">
        <v>25</v>
      </c>
      <c r="G126" t="s">
        <v>13</v>
      </c>
      <c r="H126">
        <v>2006</v>
      </c>
      <c r="I126">
        <v>1</v>
      </c>
      <c r="J126" s="2" t="s">
        <v>172</v>
      </c>
      <c r="P126" t="s">
        <v>221</v>
      </c>
      <c r="Q126" t="s">
        <v>252</v>
      </c>
    </row>
    <row r="127" spans="1:17" x14ac:dyDescent="0.25">
      <c r="A127">
        <v>7784465</v>
      </c>
      <c r="B127" t="s">
        <v>169</v>
      </c>
      <c r="C127" t="s">
        <v>252</v>
      </c>
      <c r="D127" t="s">
        <v>10</v>
      </c>
      <c r="E127" t="s">
        <v>49</v>
      </c>
      <c r="F127" t="s">
        <v>50</v>
      </c>
      <c r="G127" t="s">
        <v>26</v>
      </c>
      <c r="H127">
        <v>2006</v>
      </c>
      <c r="I127">
        <v>1</v>
      </c>
      <c r="J127" s="2" t="s">
        <v>172</v>
      </c>
      <c r="P127" t="s">
        <v>58</v>
      </c>
      <c r="Q127" t="s">
        <v>254</v>
      </c>
    </row>
    <row r="128" spans="1:17" x14ac:dyDescent="0.25">
      <c r="A128">
        <v>7758987</v>
      </c>
      <c r="B128" t="s">
        <v>163</v>
      </c>
      <c r="C128" t="s">
        <v>101</v>
      </c>
      <c r="D128" t="s">
        <v>10</v>
      </c>
      <c r="E128" t="s">
        <v>24</v>
      </c>
      <c r="F128" t="s">
        <v>24</v>
      </c>
      <c r="G128" t="s">
        <v>32</v>
      </c>
      <c r="H128">
        <v>2007</v>
      </c>
      <c r="I128">
        <v>7</v>
      </c>
      <c r="J128" s="2" t="s">
        <v>164</v>
      </c>
      <c r="P128" t="s">
        <v>166</v>
      </c>
      <c r="Q128" t="s">
        <v>92</v>
      </c>
    </row>
    <row r="129" spans="1:17" x14ac:dyDescent="0.25">
      <c r="A129">
        <v>7733020</v>
      </c>
      <c r="B129" t="s">
        <v>159</v>
      </c>
      <c r="C129" t="s">
        <v>259</v>
      </c>
      <c r="D129" t="s">
        <v>10</v>
      </c>
      <c r="E129" t="s">
        <v>24</v>
      </c>
      <c r="F129" t="s">
        <v>25</v>
      </c>
      <c r="G129" t="s">
        <v>160</v>
      </c>
      <c r="H129">
        <v>2006</v>
      </c>
      <c r="I129">
        <v>4</v>
      </c>
      <c r="J129" s="2" t="s">
        <v>161</v>
      </c>
      <c r="P129" t="s">
        <v>200</v>
      </c>
      <c r="Q129" t="s">
        <v>251</v>
      </c>
    </row>
    <row r="130" spans="1:17" x14ac:dyDescent="0.25">
      <c r="A130">
        <v>7733020</v>
      </c>
      <c r="B130" t="s">
        <v>159</v>
      </c>
      <c r="C130" t="s">
        <v>259</v>
      </c>
      <c r="D130" t="s">
        <v>10</v>
      </c>
      <c r="E130" t="s">
        <v>24</v>
      </c>
      <c r="F130" t="s">
        <v>25</v>
      </c>
      <c r="G130" t="s">
        <v>109</v>
      </c>
      <c r="H130">
        <v>2006</v>
      </c>
      <c r="I130">
        <v>4</v>
      </c>
      <c r="J130" s="2" t="s">
        <v>161</v>
      </c>
      <c r="P130" t="s">
        <v>220</v>
      </c>
      <c r="Q130" t="s">
        <v>82</v>
      </c>
    </row>
    <row r="131" spans="1:17" x14ac:dyDescent="0.25">
      <c r="A131">
        <v>7733020</v>
      </c>
      <c r="B131" t="s">
        <v>159</v>
      </c>
      <c r="C131" t="s">
        <v>259</v>
      </c>
      <c r="D131" t="s">
        <v>10</v>
      </c>
      <c r="E131" t="s">
        <v>24</v>
      </c>
      <c r="F131" t="s">
        <v>24</v>
      </c>
      <c r="G131" t="s">
        <v>135</v>
      </c>
      <c r="H131">
        <v>2006</v>
      </c>
      <c r="I131">
        <v>1</v>
      </c>
      <c r="J131" s="2" t="s">
        <v>161</v>
      </c>
    </row>
    <row r="132" spans="1:17" x14ac:dyDescent="0.25">
      <c r="A132">
        <v>7733020</v>
      </c>
      <c r="B132" t="s">
        <v>159</v>
      </c>
      <c r="C132" t="s">
        <v>259</v>
      </c>
      <c r="D132" t="s">
        <v>10</v>
      </c>
      <c r="E132" t="s">
        <v>24</v>
      </c>
      <c r="F132" t="s">
        <v>24</v>
      </c>
      <c r="G132" t="s">
        <v>61</v>
      </c>
      <c r="H132">
        <v>2006</v>
      </c>
      <c r="I132">
        <v>1</v>
      </c>
      <c r="J132" s="2" t="s">
        <v>161</v>
      </c>
    </row>
    <row r="133" spans="1:17" x14ac:dyDescent="0.25">
      <c r="A133">
        <v>7733020</v>
      </c>
      <c r="B133" t="s">
        <v>159</v>
      </c>
      <c r="C133" t="s">
        <v>259</v>
      </c>
      <c r="D133" t="s">
        <v>10</v>
      </c>
      <c r="E133" t="s">
        <v>24</v>
      </c>
      <c r="F133" t="s">
        <v>24</v>
      </c>
      <c r="G133" t="s">
        <v>32</v>
      </c>
      <c r="H133">
        <v>2006</v>
      </c>
      <c r="I133">
        <v>2</v>
      </c>
      <c r="J133" s="2" t="s">
        <v>161</v>
      </c>
    </row>
    <row r="134" spans="1:17" x14ac:dyDescent="0.25">
      <c r="A134">
        <v>7447394</v>
      </c>
      <c r="B134" t="s">
        <v>112</v>
      </c>
      <c r="C134" t="s">
        <v>101</v>
      </c>
      <c r="D134" t="s">
        <v>10</v>
      </c>
      <c r="E134" t="s">
        <v>55</v>
      </c>
      <c r="F134" t="s">
        <v>57</v>
      </c>
      <c r="G134" t="s">
        <v>13</v>
      </c>
      <c r="H134">
        <v>1973</v>
      </c>
      <c r="I134">
        <v>1</v>
      </c>
      <c r="J134" s="2" t="s">
        <v>115</v>
      </c>
    </row>
    <row r="135" spans="1:17" x14ac:dyDescent="0.25">
      <c r="A135">
        <v>7646857</v>
      </c>
      <c r="B135" t="s">
        <v>147</v>
      </c>
      <c r="C135" t="s">
        <v>259</v>
      </c>
      <c r="D135" t="s">
        <v>10</v>
      </c>
      <c r="E135" t="s">
        <v>55</v>
      </c>
      <c r="F135" t="s">
        <v>57</v>
      </c>
      <c r="G135" t="s">
        <v>13</v>
      </c>
      <c r="H135">
        <v>1973</v>
      </c>
      <c r="I135">
        <v>1</v>
      </c>
      <c r="J135" s="2" t="s">
        <v>115</v>
      </c>
    </row>
    <row r="136" spans="1:17" x14ac:dyDescent="0.25">
      <c r="A136">
        <v>10099748</v>
      </c>
      <c r="B136" t="s">
        <v>202</v>
      </c>
      <c r="C136" t="s">
        <v>68</v>
      </c>
      <c r="D136" t="s">
        <v>10</v>
      </c>
      <c r="E136" t="s">
        <v>55</v>
      </c>
      <c r="F136" t="s">
        <v>57</v>
      </c>
      <c r="G136" t="s">
        <v>13</v>
      </c>
      <c r="H136">
        <v>1973</v>
      </c>
      <c r="I136">
        <v>1</v>
      </c>
      <c r="J136" s="2" t="s">
        <v>115</v>
      </c>
    </row>
    <row r="137" spans="1:17" x14ac:dyDescent="0.25">
      <c r="A137">
        <v>10108642</v>
      </c>
      <c r="B137" t="s">
        <v>204</v>
      </c>
      <c r="C137" t="s">
        <v>82</v>
      </c>
      <c r="D137" t="s">
        <v>10</v>
      </c>
      <c r="E137" t="s">
        <v>55</v>
      </c>
      <c r="F137" t="s">
        <v>57</v>
      </c>
      <c r="G137" t="s">
        <v>13</v>
      </c>
      <c r="H137">
        <v>1973</v>
      </c>
      <c r="I137">
        <v>1</v>
      </c>
      <c r="J137" s="2" t="s">
        <v>115</v>
      </c>
    </row>
    <row r="138" spans="1:17" x14ac:dyDescent="0.25">
      <c r="A138">
        <v>7439921</v>
      </c>
      <c r="B138" t="s">
        <v>68</v>
      </c>
      <c r="C138" t="s">
        <v>68</v>
      </c>
      <c r="D138" t="s">
        <v>10</v>
      </c>
      <c r="E138" t="s">
        <v>55</v>
      </c>
      <c r="F138" t="s">
        <v>69</v>
      </c>
      <c r="G138" t="s">
        <v>13</v>
      </c>
      <c r="H138">
        <v>1974</v>
      </c>
      <c r="I138">
        <v>1</v>
      </c>
      <c r="J138" s="2" t="s">
        <v>70</v>
      </c>
    </row>
    <row r="139" spans="1:17" x14ac:dyDescent="0.25">
      <c r="A139">
        <v>7439921</v>
      </c>
      <c r="B139" t="s">
        <v>68</v>
      </c>
      <c r="C139" t="s">
        <v>68</v>
      </c>
      <c r="D139" t="s">
        <v>10</v>
      </c>
      <c r="E139" t="s">
        <v>55</v>
      </c>
      <c r="F139" t="s">
        <v>71</v>
      </c>
      <c r="G139" t="s">
        <v>13</v>
      </c>
      <c r="H139">
        <v>1974</v>
      </c>
      <c r="I139">
        <v>1</v>
      </c>
      <c r="J139" s="2" t="s">
        <v>70</v>
      </c>
    </row>
    <row r="140" spans="1:17" x14ac:dyDescent="0.25">
      <c r="A140">
        <v>7439921</v>
      </c>
      <c r="B140" t="s">
        <v>68</v>
      </c>
      <c r="C140" t="s">
        <v>68</v>
      </c>
      <c r="D140" t="s">
        <v>10</v>
      </c>
      <c r="E140" t="s">
        <v>55</v>
      </c>
      <c r="F140" t="s">
        <v>56</v>
      </c>
      <c r="G140" t="s">
        <v>13</v>
      </c>
      <c r="H140">
        <v>1974</v>
      </c>
      <c r="I140">
        <v>2</v>
      </c>
      <c r="J140" s="2" t="s">
        <v>70</v>
      </c>
    </row>
    <row r="141" spans="1:17" x14ac:dyDescent="0.25">
      <c r="A141">
        <v>7439921</v>
      </c>
      <c r="B141" t="s">
        <v>68</v>
      </c>
      <c r="C141" t="s">
        <v>68</v>
      </c>
      <c r="D141" t="s">
        <v>10</v>
      </c>
      <c r="E141" t="s">
        <v>55</v>
      </c>
      <c r="F141" t="s">
        <v>72</v>
      </c>
      <c r="G141" t="s">
        <v>13</v>
      </c>
      <c r="H141">
        <v>1974</v>
      </c>
      <c r="I141">
        <v>1</v>
      </c>
      <c r="J141" s="2" t="s">
        <v>70</v>
      </c>
    </row>
    <row r="142" spans="1:17" x14ac:dyDescent="0.25">
      <c r="A142">
        <v>7439921</v>
      </c>
      <c r="B142" t="s">
        <v>68</v>
      </c>
      <c r="C142" t="s">
        <v>68</v>
      </c>
      <c r="D142" t="s">
        <v>10</v>
      </c>
      <c r="E142" t="s">
        <v>55</v>
      </c>
      <c r="F142" t="s">
        <v>73</v>
      </c>
      <c r="G142" t="s">
        <v>13</v>
      </c>
      <c r="H142">
        <v>1974</v>
      </c>
      <c r="I142">
        <v>1</v>
      </c>
      <c r="J142" s="2" t="s">
        <v>70</v>
      </c>
    </row>
    <row r="143" spans="1:17" x14ac:dyDescent="0.25">
      <c r="A143">
        <v>7439921</v>
      </c>
      <c r="B143" t="s">
        <v>68</v>
      </c>
      <c r="C143" t="s">
        <v>68</v>
      </c>
      <c r="D143" t="s">
        <v>10</v>
      </c>
      <c r="E143" t="s">
        <v>55</v>
      </c>
      <c r="F143" t="s">
        <v>74</v>
      </c>
      <c r="G143" t="s">
        <v>13</v>
      </c>
      <c r="H143">
        <v>1974</v>
      </c>
      <c r="I143">
        <v>1</v>
      </c>
      <c r="J143" s="2" t="s">
        <v>70</v>
      </c>
    </row>
    <row r="144" spans="1:17" x14ac:dyDescent="0.25">
      <c r="A144">
        <v>7439921</v>
      </c>
      <c r="B144" t="s">
        <v>68</v>
      </c>
      <c r="C144" t="s">
        <v>68</v>
      </c>
      <c r="D144" t="s">
        <v>10</v>
      </c>
      <c r="E144" t="s">
        <v>55</v>
      </c>
      <c r="F144" t="s">
        <v>75</v>
      </c>
      <c r="G144" t="s">
        <v>13</v>
      </c>
      <c r="H144">
        <v>1974</v>
      </c>
      <c r="I144">
        <v>1</v>
      </c>
      <c r="J144" s="2" t="s">
        <v>70</v>
      </c>
    </row>
    <row r="145" spans="1:10" x14ac:dyDescent="0.25">
      <c r="A145">
        <v>7439976</v>
      </c>
      <c r="B145" t="s">
        <v>76</v>
      </c>
      <c r="C145" t="s">
        <v>76</v>
      </c>
      <c r="D145" t="s">
        <v>10</v>
      </c>
      <c r="E145" t="s">
        <v>55</v>
      </c>
      <c r="F145" t="s">
        <v>56</v>
      </c>
      <c r="G145" t="s">
        <v>13</v>
      </c>
      <c r="H145">
        <v>1974</v>
      </c>
      <c r="I145">
        <v>2</v>
      </c>
      <c r="J145" s="2" t="s">
        <v>70</v>
      </c>
    </row>
    <row r="146" spans="1:10" x14ac:dyDescent="0.25">
      <c r="A146">
        <v>7440439</v>
      </c>
      <c r="B146" t="s">
        <v>82</v>
      </c>
      <c r="C146" t="s">
        <v>82</v>
      </c>
      <c r="D146" t="s">
        <v>10</v>
      </c>
      <c r="E146" t="s">
        <v>55</v>
      </c>
      <c r="F146" t="s">
        <v>69</v>
      </c>
      <c r="G146" t="s">
        <v>13</v>
      </c>
      <c r="H146">
        <v>1974</v>
      </c>
      <c r="I146">
        <v>1</v>
      </c>
      <c r="J146" s="2" t="s">
        <v>70</v>
      </c>
    </row>
    <row r="147" spans="1:10" x14ac:dyDescent="0.25">
      <c r="A147">
        <v>7440439</v>
      </c>
      <c r="B147" t="s">
        <v>82</v>
      </c>
      <c r="C147" t="s">
        <v>82</v>
      </c>
      <c r="D147" t="s">
        <v>10</v>
      </c>
      <c r="E147" t="s">
        <v>55</v>
      </c>
      <c r="F147" t="s">
        <v>71</v>
      </c>
      <c r="G147" t="s">
        <v>13</v>
      </c>
      <c r="H147">
        <v>1974</v>
      </c>
      <c r="I147">
        <v>1</v>
      </c>
      <c r="J147" s="2" t="s">
        <v>70</v>
      </c>
    </row>
    <row r="148" spans="1:10" x14ac:dyDescent="0.25">
      <c r="A148">
        <v>7440439</v>
      </c>
      <c r="B148" t="s">
        <v>82</v>
      </c>
      <c r="C148" t="s">
        <v>82</v>
      </c>
      <c r="D148" t="s">
        <v>10</v>
      </c>
      <c r="E148" t="s">
        <v>55</v>
      </c>
      <c r="F148" t="s">
        <v>56</v>
      </c>
      <c r="G148" t="s">
        <v>13</v>
      </c>
      <c r="H148">
        <v>1974</v>
      </c>
      <c r="I148">
        <v>2</v>
      </c>
      <c r="J148" s="2" t="s">
        <v>70</v>
      </c>
    </row>
    <row r="149" spans="1:10" x14ac:dyDescent="0.25">
      <c r="A149">
        <v>7440439</v>
      </c>
      <c r="B149" t="s">
        <v>82</v>
      </c>
      <c r="C149" t="s">
        <v>82</v>
      </c>
      <c r="D149" t="s">
        <v>10</v>
      </c>
      <c r="E149" t="s">
        <v>55</v>
      </c>
      <c r="F149" t="s">
        <v>72</v>
      </c>
      <c r="G149" t="s">
        <v>13</v>
      </c>
      <c r="H149">
        <v>1974</v>
      </c>
      <c r="I149">
        <v>1</v>
      </c>
      <c r="J149" s="2" t="s">
        <v>70</v>
      </c>
    </row>
    <row r="150" spans="1:10" x14ac:dyDescent="0.25">
      <c r="A150">
        <v>7440439</v>
      </c>
      <c r="B150" t="s">
        <v>82</v>
      </c>
      <c r="C150" t="s">
        <v>82</v>
      </c>
      <c r="D150" t="s">
        <v>10</v>
      </c>
      <c r="E150" t="s">
        <v>55</v>
      </c>
      <c r="F150" t="s">
        <v>73</v>
      </c>
      <c r="G150" t="s">
        <v>13</v>
      </c>
      <c r="H150">
        <v>1974</v>
      </c>
      <c r="I150">
        <v>1</v>
      </c>
      <c r="J150" s="2" t="s">
        <v>70</v>
      </c>
    </row>
    <row r="151" spans="1:10" x14ac:dyDescent="0.25">
      <c r="A151">
        <v>7440439</v>
      </c>
      <c r="B151" t="s">
        <v>82</v>
      </c>
      <c r="C151" t="s">
        <v>82</v>
      </c>
      <c r="D151" t="s">
        <v>10</v>
      </c>
      <c r="E151" t="s">
        <v>55</v>
      </c>
      <c r="F151" t="s">
        <v>74</v>
      </c>
      <c r="G151" t="s">
        <v>13</v>
      </c>
      <c r="H151">
        <v>1974</v>
      </c>
      <c r="I151">
        <v>1</v>
      </c>
      <c r="J151" s="2" t="s">
        <v>70</v>
      </c>
    </row>
    <row r="152" spans="1:10" x14ac:dyDescent="0.25">
      <c r="A152">
        <v>7440439</v>
      </c>
      <c r="B152" t="s">
        <v>82</v>
      </c>
      <c r="C152" t="s">
        <v>82</v>
      </c>
      <c r="D152" t="s">
        <v>10</v>
      </c>
      <c r="E152" t="s">
        <v>55</v>
      </c>
      <c r="F152" t="s">
        <v>75</v>
      </c>
      <c r="G152" t="s">
        <v>13</v>
      </c>
      <c r="H152">
        <v>1974</v>
      </c>
      <c r="I152">
        <v>1</v>
      </c>
      <c r="J152" s="2" t="s">
        <v>70</v>
      </c>
    </row>
    <row r="153" spans="1:10" x14ac:dyDescent="0.25">
      <c r="A153">
        <v>7440439</v>
      </c>
      <c r="B153" t="s">
        <v>82</v>
      </c>
      <c r="C153" t="s">
        <v>82</v>
      </c>
      <c r="D153" t="s">
        <v>10</v>
      </c>
      <c r="E153" t="s">
        <v>49</v>
      </c>
      <c r="F153" t="s">
        <v>50</v>
      </c>
      <c r="G153" t="s">
        <v>13</v>
      </c>
      <c r="H153">
        <v>1974</v>
      </c>
      <c r="I153">
        <v>3</v>
      </c>
      <c r="J153" s="2" t="s">
        <v>70</v>
      </c>
    </row>
    <row r="154" spans="1:10" x14ac:dyDescent="0.25">
      <c r="A154">
        <v>7440508</v>
      </c>
      <c r="B154" t="s">
        <v>101</v>
      </c>
      <c r="C154" t="s">
        <v>101</v>
      </c>
      <c r="D154" t="s">
        <v>10</v>
      </c>
      <c r="E154" t="s">
        <v>55</v>
      </c>
      <c r="F154" t="s">
        <v>69</v>
      </c>
      <c r="G154" t="s">
        <v>13</v>
      </c>
      <c r="H154">
        <v>1974</v>
      </c>
      <c r="I154">
        <v>1</v>
      </c>
      <c r="J154" s="2" t="s">
        <v>70</v>
      </c>
    </row>
    <row r="155" spans="1:10" x14ac:dyDescent="0.25">
      <c r="A155">
        <v>7440508</v>
      </c>
      <c r="B155" t="s">
        <v>101</v>
      </c>
      <c r="C155" t="s">
        <v>101</v>
      </c>
      <c r="D155" t="s">
        <v>10</v>
      </c>
      <c r="E155" t="s">
        <v>55</v>
      </c>
      <c r="F155" t="s">
        <v>56</v>
      </c>
      <c r="G155" t="s">
        <v>13</v>
      </c>
      <c r="H155">
        <v>1974</v>
      </c>
      <c r="I155">
        <v>2</v>
      </c>
      <c r="J155" s="2" t="s">
        <v>70</v>
      </c>
    </row>
    <row r="156" spans="1:10" x14ac:dyDescent="0.25">
      <c r="A156">
        <v>7440508</v>
      </c>
      <c r="B156" t="s">
        <v>101</v>
      </c>
      <c r="C156" t="s">
        <v>101</v>
      </c>
      <c r="D156" t="s">
        <v>10</v>
      </c>
      <c r="E156" t="s">
        <v>55</v>
      </c>
      <c r="F156" t="s">
        <v>73</v>
      </c>
      <c r="G156" t="s">
        <v>13</v>
      </c>
      <c r="H156">
        <v>1974</v>
      </c>
      <c r="I156">
        <v>1</v>
      </c>
      <c r="J156" s="2" t="s">
        <v>70</v>
      </c>
    </row>
    <row r="157" spans="1:10" x14ac:dyDescent="0.25">
      <c r="A157">
        <v>7440508</v>
      </c>
      <c r="B157" t="s">
        <v>101</v>
      </c>
      <c r="C157" t="s">
        <v>101</v>
      </c>
      <c r="D157" t="s">
        <v>10</v>
      </c>
      <c r="E157" t="s">
        <v>55</v>
      </c>
      <c r="F157" t="s">
        <v>74</v>
      </c>
      <c r="G157" t="s">
        <v>13</v>
      </c>
      <c r="H157">
        <v>1974</v>
      </c>
      <c r="I157">
        <v>1</v>
      </c>
      <c r="J157" s="2" t="s">
        <v>70</v>
      </c>
    </row>
    <row r="158" spans="1:10" x14ac:dyDescent="0.25">
      <c r="A158">
        <v>7440508</v>
      </c>
      <c r="B158" t="s">
        <v>101</v>
      </c>
      <c r="C158" t="s">
        <v>101</v>
      </c>
      <c r="D158" t="s">
        <v>10</v>
      </c>
      <c r="E158" t="s">
        <v>55</v>
      </c>
      <c r="F158" t="s">
        <v>75</v>
      </c>
      <c r="G158" t="s">
        <v>13</v>
      </c>
      <c r="H158">
        <v>1974</v>
      </c>
      <c r="I158">
        <v>1</v>
      </c>
      <c r="J158" s="2" t="s">
        <v>70</v>
      </c>
    </row>
    <row r="159" spans="1:10" x14ac:dyDescent="0.25">
      <c r="A159">
        <v>301042</v>
      </c>
      <c r="B159" t="s">
        <v>53</v>
      </c>
      <c r="C159" t="s">
        <v>68</v>
      </c>
      <c r="D159" t="s">
        <v>10</v>
      </c>
      <c r="E159" t="s">
        <v>24</v>
      </c>
      <c r="F159" t="s">
        <v>24</v>
      </c>
      <c r="G159" t="s">
        <v>32</v>
      </c>
      <c r="H159">
        <v>1970</v>
      </c>
      <c r="I159">
        <v>1</v>
      </c>
      <c r="J159" s="2" t="s">
        <v>54</v>
      </c>
    </row>
    <row r="160" spans="1:10" x14ac:dyDescent="0.25">
      <c r="A160">
        <v>301042</v>
      </c>
      <c r="B160" t="s">
        <v>53</v>
      </c>
      <c r="C160" t="s">
        <v>68</v>
      </c>
      <c r="D160" t="s">
        <v>10</v>
      </c>
      <c r="E160" t="s">
        <v>55</v>
      </c>
      <c r="F160" t="s">
        <v>56</v>
      </c>
      <c r="G160" t="s">
        <v>13</v>
      </c>
      <c r="H160">
        <v>1970</v>
      </c>
      <c r="I160">
        <v>1</v>
      </c>
      <c r="J160" s="2" t="s">
        <v>54</v>
      </c>
    </row>
    <row r="161" spans="1:10" x14ac:dyDescent="0.25">
      <c r="A161">
        <v>301042</v>
      </c>
      <c r="B161" t="s">
        <v>53</v>
      </c>
      <c r="C161" t="s">
        <v>68</v>
      </c>
      <c r="D161" t="s">
        <v>10</v>
      </c>
      <c r="E161" t="s">
        <v>55</v>
      </c>
      <c r="F161" t="s">
        <v>57</v>
      </c>
      <c r="G161" t="s">
        <v>13</v>
      </c>
      <c r="H161">
        <v>1970</v>
      </c>
      <c r="I161">
        <v>1</v>
      </c>
      <c r="J161" s="2" t="s">
        <v>54</v>
      </c>
    </row>
    <row r="162" spans="1:10" x14ac:dyDescent="0.25">
      <c r="A162">
        <v>7487947</v>
      </c>
      <c r="B162" t="s">
        <v>117</v>
      </c>
      <c r="C162" t="s">
        <v>76</v>
      </c>
      <c r="D162" t="s">
        <v>10</v>
      </c>
      <c r="E162" t="s">
        <v>24</v>
      </c>
      <c r="F162" t="s">
        <v>24</v>
      </c>
      <c r="G162" t="s">
        <v>32</v>
      </c>
      <c r="H162">
        <v>1970</v>
      </c>
      <c r="I162">
        <v>1</v>
      </c>
      <c r="J162" s="2" t="s">
        <v>54</v>
      </c>
    </row>
    <row r="163" spans="1:10" x14ac:dyDescent="0.25">
      <c r="A163">
        <v>7487947</v>
      </c>
      <c r="B163" t="s">
        <v>117</v>
      </c>
      <c r="C163" t="s">
        <v>76</v>
      </c>
      <c r="D163" t="s">
        <v>10</v>
      </c>
      <c r="E163" t="s">
        <v>55</v>
      </c>
      <c r="F163" t="s">
        <v>56</v>
      </c>
      <c r="G163" t="s">
        <v>13</v>
      </c>
      <c r="H163">
        <v>1970</v>
      </c>
      <c r="I163">
        <v>1</v>
      </c>
      <c r="J163" s="2" t="s">
        <v>54</v>
      </c>
    </row>
    <row r="164" spans="1:10" x14ac:dyDescent="0.25">
      <c r="A164">
        <v>7487947</v>
      </c>
      <c r="B164" t="s">
        <v>117</v>
      </c>
      <c r="C164" t="s">
        <v>76</v>
      </c>
      <c r="D164" t="s">
        <v>10</v>
      </c>
      <c r="E164" t="s">
        <v>55</v>
      </c>
      <c r="F164" t="s">
        <v>57</v>
      </c>
      <c r="G164" t="s">
        <v>13</v>
      </c>
      <c r="H164">
        <v>1970</v>
      </c>
      <c r="I164">
        <v>1</v>
      </c>
      <c r="J164" s="2" t="s">
        <v>54</v>
      </c>
    </row>
    <row r="165" spans="1:10" x14ac:dyDescent="0.25">
      <c r="A165">
        <v>7758987</v>
      </c>
      <c r="B165" t="s">
        <v>163</v>
      </c>
      <c r="C165" t="s">
        <v>101</v>
      </c>
      <c r="D165" t="s">
        <v>10</v>
      </c>
      <c r="E165" t="s">
        <v>24</v>
      </c>
      <c r="F165" t="s">
        <v>24</v>
      </c>
      <c r="G165" t="s">
        <v>32</v>
      </c>
      <c r="H165">
        <v>1970</v>
      </c>
      <c r="I165">
        <v>1</v>
      </c>
      <c r="J165" s="2" t="s">
        <v>54</v>
      </c>
    </row>
    <row r="166" spans="1:10" x14ac:dyDescent="0.25">
      <c r="A166">
        <v>7758987</v>
      </c>
      <c r="B166" t="s">
        <v>163</v>
      </c>
      <c r="C166" t="s">
        <v>101</v>
      </c>
      <c r="D166" t="s">
        <v>10</v>
      </c>
      <c r="E166" t="s">
        <v>55</v>
      </c>
      <c r="F166" t="s">
        <v>56</v>
      </c>
      <c r="G166" t="s">
        <v>13</v>
      </c>
      <c r="H166">
        <v>1970</v>
      </c>
      <c r="I166">
        <v>1</v>
      </c>
      <c r="J166" s="2" t="s">
        <v>54</v>
      </c>
    </row>
    <row r="167" spans="1:10" x14ac:dyDescent="0.25">
      <c r="A167">
        <v>7758987</v>
      </c>
      <c r="B167" t="s">
        <v>163</v>
      </c>
      <c r="C167" t="s">
        <v>101</v>
      </c>
      <c r="D167" t="s">
        <v>10</v>
      </c>
      <c r="E167" t="s">
        <v>55</v>
      </c>
      <c r="F167" t="s">
        <v>57</v>
      </c>
      <c r="G167" t="s">
        <v>13</v>
      </c>
      <c r="H167">
        <v>1970</v>
      </c>
      <c r="I167">
        <v>1</v>
      </c>
      <c r="J167" s="2" t="s">
        <v>54</v>
      </c>
    </row>
    <row r="168" spans="1:10" x14ac:dyDescent="0.25">
      <c r="A168">
        <v>10108642</v>
      </c>
      <c r="B168" t="s">
        <v>204</v>
      </c>
      <c r="C168" t="s">
        <v>82</v>
      </c>
      <c r="D168" t="s">
        <v>10</v>
      </c>
      <c r="E168" t="s">
        <v>24</v>
      </c>
      <c r="F168" t="s">
        <v>24</v>
      </c>
      <c r="G168" t="s">
        <v>32</v>
      </c>
      <c r="H168">
        <v>1970</v>
      </c>
      <c r="I168">
        <v>1</v>
      </c>
      <c r="J168" s="2" t="s">
        <v>54</v>
      </c>
    </row>
    <row r="169" spans="1:10" x14ac:dyDescent="0.25">
      <c r="A169">
        <v>10108642</v>
      </c>
      <c r="B169" t="s">
        <v>204</v>
      </c>
      <c r="C169" t="s">
        <v>82</v>
      </c>
      <c r="D169" t="s">
        <v>10</v>
      </c>
      <c r="E169" t="s">
        <v>55</v>
      </c>
      <c r="F169" t="s">
        <v>56</v>
      </c>
      <c r="G169" t="s">
        <v>13</v>
      </c>
      <c r="H169">
        <v>1970</v>
      </c>
      <c r="I169">
        <v>1</v>
      </c>
      <c r="J169" s="2" t="s">
        <v>54</v>
      </c>
    </row>
    <row r="170" spans="1:10" x14ac:dyDescent="0.25">
      <c r="A170">
        <v>10108642</v>
      </c>
      <c r="B170" t="s">
        <v>204</v>
      </c>
      <c r="C170" t="s">
        <v>82</v>
      </c>
      <c r="D170" t="s">
        <v>10</v>
      </c>
      <c r="E170" t="s">
        <v>55</v>
      </c>
      <c r="F170" t="s">
        <v>57</v>
      </c>
      <c r="G170" t="s">
        <v>13</v>
      </c>
      <c r="H170">
        <v>1970</v>
      </c>
      <c r="I170">
        <v>1</v>
      </c>
      <c r="J170" s="2" t="s">
        <v>54</v>
      </c>
    </row>
    <row r="171" spans="1:10" x14ac:dyDescent="0.25">
      <c r="A171">
        <v>10108642</v>
      </c>
      <c r="B171" t="s">
        <v>204</v>
      </c>
      <c r="C171" t="s">
        <v>82</v>
      </c>
      <c r="D171" t="s">
        <v>10</v>
      </c>
      <c r="E171" t="s">
        <v>93</v>
      </c>
      <c r="F171" t="s">
        <v>213</v>
      </c>
      <c r="G171" t="s">
        <v>13</v>
      </c>
      <c r="H171">
        <v>1995</v>
      </c>
      <c r="I171">
        <v>1</v>
      </c>
      <c r="J171" s="2" t="s">
        <v>214</v>
      </c>
    </row>
    <row r="172" spans="1:10" x14ac:dyDescent="0.25">
      <c r="A172">
        <v>7439976</v>
      </c>
      <c r="B172" t="s">
        <v>76</v>
      </c>
      <c r="C172" t="s">
        <v>76</v>
      </c>
      <c r="D172" t="s">
        <v>10</v>
      </c>
      <c r="E172" t="s">
        <v>24</v>
      </c>
      <c r="F172" t="s">
        <v>24</v>
      </c>
      <c r="G172" t="s">
        <v>29</v>
      </c>
      <c r="H172">
        <v>1987</v>
      </c>
      <c r="I172">
        <v>1</v>
      </c>
      <c r="J172" s="2" t="s">
        <v>77</v>
      </c>
    </row>
    <row r="173" spans="1:10" x14ac:dyDescent="0.25">
      <c r="A173">
        <v>22967926</v>
      </c>
      <c r="B173" t="s">
        <v>229</v>
      </c>
      <c r="C173" t="s">
        <v>76</v>
      </c>
      <c r="D173" t="s">
        <v>10</v>
      </c>
      <c r="E173" t="s">
        <v>24</v>
      </c>
      <c r="F173" t="s">
        <v>24</v>
      </c>
      <c r="G173" t="s">
        <v>29</v>
      </c>
      <c r="H173">
        <v>1987</v>
      </c>
      <c r="I173">
        <v>1</v>
      </c>
      <c r="J173" s="2" t="s">
        <v>77</v>
      </c>
    </row>
    <row r="174" spans="1:10" x14ac:dyDescent="0.25">
      <c r="A174">
        <v>7487947</v>
      </c>
      <c r="B174" t="s">
        <v>117</v>
      </c>
      <c r="C174" t="s">
        <v>76</v>
      </c>
      <c r="D174" t="s">
        <v>10</v>
      </c>
      <c r="E174" t="s">
        <v>11</v>
      </c>
      <c r="F174" t="s">
        <v>12</v>
      </c>
      <c r="G174" t="s">
        <v>13</v>
      </c>
      <c r="H174">
        <v>1987</v>
      </c>
      <c r="I174">
        <v>2</v>
      </c>
      <c r="J174" s="2" t="s">
        <v>118</v>
      </c>
    </row>
    <row r="175" spans="1:10" x14ac:dyDescent="0.25">
      <c r="A175">
        <v>7487947</v>
      </c>
      <c r="B175" t="s">
        <v>117</v>
      </c>
      <c r="C175" t="s">
        <v>76</v>
      </c>
      <c r="D175" t="s">
        <v>10</v>
      </c>
      <c r="E175" t="s">
        <v>24</v>
      </c>
      <c r="F175" t="s">
        <v>24</v>
      </c>
      <c r="G175" t="s">
        <v>32</v>
      </c>
      <c r="H175">
        <v>1987</v>
      </c>
      <c r="I175">
        <v>2</v>
      </c>
      <c r="J175" s="2" t="s">
        <v>118</v>
      </c>
    </row>
    <row r="176" spans="1:10" x14ac:dyDescent="0.25">
      <c r="A176">
        <v>115093</v>
      </c>
      <c r="B176" t="s">
        <v>9</v>
      </c>
      <c r="C176" t="s">
        <v>76</v>
      </c>
      <c r="D176" t="s">
        <v>10</v>
      </c>
      <c r="E176" t="s">
        <v>11</v>
      </c>
      <c r="F176" t="s">
        <v>12</v>
      </c>
      <c r="G176" t="s">
        <v>13</v>
      </c>
      <c r="H176">
        <v>1987</v>
      </c>
      <c r="I176">
        <v>1</v>
      </c>
      <c r="J176" s="2" t="s">
        <v>14</v>
      </c>
    </row>
    <row r="177" spans="1:10" x14ac:dyDescent="0.25">
      <c r="A177">
        <v>115093</v>
      </c>
      <c r="B177" t="s">
        <v>9</v>
      </c>
      <c r="C177" t="s">
        <v>76</v>
      </c>
      <c r="D177" t="s">
        <v>10</v>
      </c>
      <c r="E177" t="s">
        <v>24</v>
      </c>
      <c r="F177" t="s">
        <v>24</v>
      </c>
      <c r="G177" t="s">
        <v>32</v>
      </c>
      <c r="H177">
        <v>1987</v>
      </c>
      <c r="I177">
        <v>2</v>
      </c>
      <c r="J177" s="2" t="s">
        <v>14</v>
      </c>
    </row>
    <row r="178" spans="1:10" x14ac:dyDescent="0.25">
      <c r="A178">
        <v>22967926</v>
      </c>
      <c r="B178" t="s">
        <v>229</v>
      </c>
      <c r="C178" t="s">
        <v>76</v>
      </c>
      <c r="D178" t="s">
        <v>10</v>
      </c>
      <c r="E178" t="s">
        <v>11</v>
      </c>
      <c r="F178" t="s">
        <v>12</v>
      </c>
      <c r="G178" t="s">
        <v>13</v>
      </c>
      <c r="H178">
        <v>1987</v>
      </c>
      <c r="I178">
        <v>3</v>
      </c>
      <c r="J178" s="2" t="s">
        <v>230</v>
      </c>
    </row>
    <row r="179" spans="1:10" x14ac:dyDescent="0.25">
      <c r="A179">
        <v>7487947</v>
      </c>
      <c r="B179" t="s">
        <v>117</v>
      </c>
      <c r="C179" t="s">
        <v>76</v>
      </c>
      <c r="D179" t="s">
        <v>10</v>
      </c>
      <c r="E179" t="s">
        <v>11</v>
      </c>
      <c r="F179" t="s">
        <v>12</v>
      </c>
      <c r="G179" t="s">
        <v>13</v>
      </c>
      <c r="H179">
        <v>1987</v>
      </c>
      <c r="I179">
        <v>3</v>
      </c>
      <c r="J179" s="2" t="s">
        <v>119</v>
      </c>
    </row>
    <row r="180" spans="1:10" x14ac:dyDescent="0.25">
      <c r="A180">
        <v>115093</v>
      </c>
      <c r="B180" t="s">
        <v>9</v>
      </c>
      <c r="C180" t="s">
        <v>76</v>
      </c>
      <c r="D180" t="s">
        <v>10</v>
      </c>
      <c r="E180" t="s">
        <v>19</v>
      </c>
      <c r="F180" t="s">
        <v>22</v>
      </c>
      <c r="G180" t="s">
        <v>13</v>
      </c>
      <c r="H180">
        <v>1993</v>
      </c>
      <c r="I180">
        <v>1</v>
      </c>
      <c r="J180" s="2" t="s">
        <v>23</v>
      </c>
    </row>
    <row r="181" spans="1:10" x14ac:dyDescent="0.25">
      <c r="A181">
        <v>7487947</v>
      </c>
      <c r="B181" t="s">
        <v>117</v>
      </c>
      <c r="C181" t="s">
        <v>76</v>
      </c>
      <c r="D181" t="s">
        <v>10</v>
      </c>
      <c r="E181" t="s">
        <v>19</v>
      </c>
      <c r="F181" t="s">
        <v>22</v>
      </c>
      <c r="G181" t="s">
        <v>13</v>
      </c>
      <c r="H181">
        <v>1993</v>
      </c>
      <c r="I181">
        <v>1</v>
      </c>
      <c r="J181" s="2" t="s">
        <v>23</v>
      </c>
    </row>
    <row r="182" spans="1:10" x14ac:dyDescent="0.25">
      <c r="A182">
        <v>115093</v>
      </c>
      <c r="B182" t="s">
        <v>9</v>
      </c>
      <c r="C182" t="s">
        <v>76</v>
      </c>
      <c r="D182" t="s">
        <v>10</v>
      </c>
      <c r="E182" t="s">
        <v>24</v>
      </c>
      <c r="F182" t="s">
        <v>24</v>
      </c>
      <c r="G182" t="s">
        <v>29</v>
      </c>
      <c r="H182">
        <v>1994</v>
      </c>
      <c r="I182">
        <v>4</v>
      </c>
      <c r="J182" s="2" t="s">
        <v>30</v>
      </c>
    </row>
    <row r="183" spans="1:10" x14ac:dyDescent="0.25">
      <c r="A183">
        <v>115093</v>
      </c>
      <c r="B183" t="s">
        <v>9</v>
      </c>
      <c r="C183" t="s">
        <v>76</v>
      </c>
      <c r="D183" t="s">
        <v>10</v>
      </c>
      <c r="E183" t="s">
        <v>24</v>
      </c>
      <c r="F183" t="s">
        <v>24</v>
      </c>
      <c r="G183" t="s">
        <v>32</v>
      </c>
      <c r="H183">
        <v>1994</v>
      </c>
      <c r="I183">
        <v>2</v>
      </c>
      <c r="J183" s="2" t="s">
        <v>30</v>
      </c>
    </row>
    <row r="184" spans="1:10" x14ac:dyDescent="0.25">
      <c r="A184">
        <v>7487947</v>
      </c>
      <c r="B184" t="s">
        <v>117</v>
      </c>
      <c r="C184" t="s">
        <v>76</v>
      </c>
      <c r="D184" t="s">
        <v>10</v>
      </c>
      <c r="E184" t="s">
        <v>24</v>
      </c>
      <c r="F184" t="s">
        <v>24</v>
      </c>
      <c r="G184" t="s">
        <v>29</v>
      </c>
      <c r="H184">
        <v>1994</v>
      </c>
      <c r="I184">
        <v>4</v>
      </c>
      <c r="J184" s="2" t="s">
        <v>30</v>
      </c>
    </row>
    <row r="185" spans="1:10" x14ac:dyDescent="0.25">
      <c r="A185">
        <v>7487947</v>
      </c>
      <c r="B185" t="s">
        <v>117</v>
      </c>
      <c r="C185" t="s">
        <v>76</v>
      </c>
      <c r="D185" t="s">
        <v>10</v>
      </c>
      <c r="E185" t="s">
        <v>24</v>
      </c>
      <c r="F185" t="s">
        <v>24</v>
      </c>
      <c r="G185" t="s">
        <v>32</v>
      </c>
      <c r="H185">
        <v>1994</v>
      </c>
      <c r="I185">
        <v>2</v>
      </c>
      <c r="J185" s="2" t="s">
        <v>30</v>
      </c>
    </row>
    <row r="186" spans="1:10" x14ac:dyDescent="0.25">
      <c r="A186">
        <v>7487947</v>
      </c>
      <c r="B186" t="s">
        <v>117</v>
      </c>
      <c r="C186" t="s">
        <v>76</v>
      </c>
      <c r="D186" t="s">
        <v>10</v>
      </c>
      <c r="E186" t="s">
        <v>24</v>
      </c>
      <c r="F186" t="s">
        <v>24</v>
      </c>
      <c r="G186" t="s">
        <v>123</v>
      </c>
      <c r="H186">
        <v>1975</v>
      </c>
      <c r="I186">
        <v>1</v>
      </c>
      <c r="J186" s="2" t="s">
        <v>124</v>
      </c>
    </row>
    <row r="187" spans="1:10" x14ac:dyDescent="0.25">
      <c r="A187">
        <v>7439976</v>
      </c>
      <c r="B187" t="s">
        <v>76</v>
      </c>
      <c r="C187" t="s">
        <v>76</v>
      </c>
      <c r="D187" t="s">
        <v>10</v>
      </c>
      <c r="E187" t="s">
        <v>78</v>
      </c>
      <c r="F187" t="s">
        <v>79</v>
      </c>
      <c r="G187" t="s">
        <v>13</v>
      </c>
      <c r="H187">
        <v>1978</v>
      </c>
      <c r="I187">
        <v>2</v>
      </c>
      <c r="J187" s="2" t="s">
        <v>80</v>
      </c>
    </row>
    <row r="188" spans="1:10" x14ac:dyDescent="0.25">
      <c r="A188">
        <v>7487947</v>
      </c>
      <c r="B188" t="s">
        <v>117</v>
      </c>
      <c r="C188" t="s">
        <v>76</v>
      </c>
      <c r="D188" t="s">
        <v>10</v>
      </c>
      <c r="E188" t="s">
        <v>64</v>
      </c>
      <c r="F188" t="s">
        <v>65</v>
      </c>
      <c r="G188" t="s">
        <v>13</v>
      </c>
      <c r="H188">
        <v>1979</v>
      </c>
      <c r="I188">
        <v>2</v>
      </c>
      <c r="J188" s="2" t="s">
        <v>130</v>
      </c>
    </row>
    <row r="189" spans="1:10" x14ac:dyDescent="0.25">
      <c r="A189">
        <v>7440439</v>
      </c>
      <c r="B189" t="s">
        <v>82</v>
      </c>
      <c r="C189" t="s">
        <v>82</v>
      </c>
      <c r="D189" t="s">
        <v>10</v>
      </c>
      <c r="E189" t="s">
        <v>49</v>
      </c>
      <c r="F189" t="s">
        <v>51</v>
      </c>
      <c r="G189" t="s">
        <v>13</v>
      </c>
      <c r="H189">
        <v>1992</v>
      </c>
      <c r="I189">
        <v>2</v>
      </c>
      <c r="J189" s="2" t="s">
        <v>91</v>
      </c>
    </row>
    <row r="190" spans="1:10" x14ac:dyDescent="0.25">
      <c r="A190">
        <v>7447394</v>
      </c>
      <c r="B190" t="s">
        <v>112</v>
      </c>
      <c r="C190" t="s">
        <v>101</v>
      </c>
      <c r="D190" t="s">
        <v>10</v>
      </c>
      <c r="E190" t="s">
        <v>64</v>
      </c>
      <c r="F190" t="s">
        <v>65</v>
      </c>
      <c r="G190" t="s">
        <v>13</v>
      </c>
      <c r="H190">
        <v>1973</v>
      </c>
      <c r="I190">
        <v>2</v>
      </c>
      <c r="J190" s="2" t="s">
        <v>114</v>
      </c>
    </row>
    <row r="191" spans="1:10" x14ac:dyDescent="0.25">
      <c r="A191">
        <v>7733020</v>
      </c>
      <c r="B191" t="s">
        <v>159</v>
      </c>
      <c r="C191" t="s">
        <v>259</v>
      </c>
      <c r="D191" t="s">
        <v>10</v>
      </c>
      <c r="E191" t="s">
        <v>24</v>
      </c>
      <c r="F191" t="s">
        <v>24</v>
      </c>
      <c r="G191" t="s">
        <v>32</v>
      </c>
      <c r="H191">
        <v>1993</v>
      </c>
      <c r="I191">
        <v>1</v>
      </c>
      <c r="J191" s="2" t="s">
        <v>162</v>
      </c>
    </row>
    <row r="192" spans="1:10" x14ac:dyDescent="0.25">
      <c r="A192">
        <v>7758987</v>
      </c>
      <c r="B192" t="s">
        <v>163</v>
      </c>
      <c r="C192" t="s">
        <v>101</v>
      </c>
      <c r="D192" t="s">
        <v>10</v>
      </c>
      <c r="E192" t="s">
        <v>24</v>
      </c>
      <c r="F192" t="s">
        <v>24</v>
      </c>
      <c r="G192" t="s">
        <v>32</v>
      </c>
      <c r="H192">
        <v>1993</v>
      </c>
      <c r="I192">
        <v>1</v>
      </c>
      <c r="J192" s="2" t="s">
        <v>162</v>
      </c>
    </row>
    <row r="193" spans="1:10" x14ac:dyDescent="0.25">
      <c r="A193">
        <v>10124364</v>
      </c>
      <c r="B193" t="s">
        <v>218</v>
      </c>
      <c r="C193" t="s">
        <v>82</v>
      </c>
      <c r="D193" t="s">
        <v>10</v>
      </c>
      <c r="E193" t="s">
        <v>24</v>
      </c>
      <c r="F193" t="s">
        <v>24</v>
      </c>
      <c r="G193" t="s">
        <v>32</v>
      </c>
      <c r="H193">
        <v>1993</v>
      </c>
      <c r="I193">
        <v>1</v>
      </c>
      <c r="J193" s="2" t="s">
        <v>162</v>
      </c>
    </row>
    <row r="194" spans="1:10" x14ac:dyDescent="0.25">
      <c r="A194">
        <v>7440473</v>
      </c>
      <c r="B194" t="s">
        <v>92</v>
      </c>
      <c r="C194" t="s">
        <v>92</v>
      </c>
      <c r="D194" t="s">
        <v>10</v>
      </c>
      <c r="E194" t="s">
        <v>93</v>
      </c>
      <c r="F194" t="s">
        <v>94</v>
      </c>
      <c r="G194" t="s">
        <v>13</v>
      </c>
      <c r="H194">
        <v>2004</v>
      </c>
      <c r="I194">
        <v>1</v>
      </c>
      <c r="J194" s="2" t="s">
        <v>95</v>
      </c>
    </row>
    <row r="195" spans="1:10" x14ac:dyDescent="0.25">
      <c r="A195">
        <v>7440473</v>
      </c>
      <c r="B195" t="s">
        <v>92</v>
      </c>
      <c r="C195" t="s">
        <v>92</v>
      </c>
      <c r="D195" t="s">
        <v>10</v>
      </c>
      <c r="E195" t="s">
        <v>93</v>
      </c>
      <c r="F195" t="s">
        <v>96</v>
      </c>
      <c r="G195" t="s">
        <v>16</v>
      </c>
      <c r="H195">
        <v>2004</v>
      </c>
      <c r="I195">
        <v>1</v>
      </c>
      <c r="J195" s="2" t="s">
        <v>95</v>
      </c>
    </row>
    <row r="196" spans="1:10" x14ac:dyDescent="0.25">
      <c r="A196">
        <v>7440473</v>
      </c>
      <c r="B196" t="s">
        <v>92</v>
      </c>
      <c r="C196" t="s">
        <v>92</v>
      </c>
      <c r="D196" t="s">
        <v>10</v>
      </c>
      <c r="E196" t="s">
        <v>93</v>
      </c>
      <c r="F196" t="s">
        <v>97</v>
      </c>
      <c r="G196" t="s">
        <v>13</v>
      </c>
      <c r="H196">
        <v>2004</v>
      </c>
      <c r="I196">
        <v>1</v>
      </c>
      <c r="J196" s="2" t="s">
        <v>95</v>
      </c>
    </row>
    <row r="197" spans="1:10" x14ac:dyDescent="0.25">
      <c r="A197">
        <v>7440473</v>
      </c>
      <c r="B197" t="s">
        <v>92</v>
      </c>
      <c r="C197" t="s">
        <v>92</v>
      </c>
      <c r="D197" t="s">
        <v>10</v>
      </c>
      <c r="E197" t="s">
        <v>93</v>
      </c>
      <c r="F197" t="s">
        <v>98</v>
      </c>
      <c r="G197" t="s">
        <v>16</v>
      </c>
      <c r="H197">
        <v>2004</v>
      </c>
      <c r="I197">
        <v>1</v>
      </c>
      <c r="J197" s="2" t="s">
        <v>95</v>
      </c>
    </row>
    <row r="198" spans="1:10" x14ac:dyDescent="0.25">
      <c r="A198">
        <v>7440473</v>
      </c>
      <c r="B198" t="s">
        <v>92</v>
      </c>
      <c r="C198" t="s">
        <v>92</v>
      </c>
      <c r="D198" t="s">
        <v>10</v>
      </c>
      <c r="E198" t="s">
        <v>93</v>
      </c>
      <c r="F198" t="s">
        <v>99</v>
      </c>
      <c r="G198" t="s">
        <v>16</v>
      </c>
      <c r="H198">
        <v>2004</v>
      </c>
      <c r="I198">
        <v>1</v>
      </c>
      <c r="J198" s="2" t="s">
        <v>95</v>
      </c>
    </row>
    <row r="199" spans="1:10" x14ac:dyDescent="0.25">
      <c r="A199">
        <v>7440473</v>
      </c>
      <c r="B199" t="s">
        <v>92</v>
      </c>
      <c r="C199" t="s">
        <v>92</v>
      </c>
      <c r="D199" t="s">
        <v>10</v>
      </c>
      <c r="E199" t="s">
        <v>93</v>
      </c>
      <c r="F199" t="s">
        <v>100</v>
      </c>
      <c r="G199" t="s">
        <v>13</v>
      </c>
      <c r="H199">
        <v>2004</v>
      </c>
      <c r="I199">
        <v>1</v>
      </c>
      <c r="J199" s="2" t="s">
        <v>95</v>
      </c>
    </row>
    <row r="200" spans="1:10" x14ac:dyDescent="0.25">
      <c r="A200">
        <v>7440473</v>
      </c>
      <c r="B200" t="s">
        <v>92</v>
      </c>
      <c r="C200" t="s">
        <v>92</v>
      </c>
      <c r="D200" t="s">
        <v>10</v>
      </c>
      <c r="E200" t="s">
        <v>49</v>
      </c>
      <c r="F200" t="s">
        <v>50</v>
      </c>
      <c r="G200" t="s">
        <v>13</v>
      </c>
      <c r="H200">
        <v>2004</v>
      </c>
      <c r="I200">
        <v>1</v>
      </c>
      <c r="J200" s="2" t="s">
        <v>95</v>
      </c>
    </row>
    <row r="201" spans="1:10" x14ac:dyDescent="0.25">
      <c r="A201">
        <v>115093</v>
      </c>
      <c r="B201" t="s">
        <v>9</v>
      </c>
      <c r="C201" t="s">
        <v>76</v>
      </c>
      <c r="D201" t="s">
        <v>10</v>
      </c>
      <c r="E201" t="s">
        <v>11</v>
      </c>
      <c r="F201" t="s">
        <v>15</v>
      </c>
      <c r="G201" t="s">
        <v>16</v>
      </c>
      <c r="H201">
        <v>2001</v>
      </c>
      <c r="I201">
        <v>1</v>
      </c>
      <c r="J201" s="2" t="s">
        <v>17</v>
      </c>
    </row>
    <row r="202" spans="1:10" x14ac:dyDescent="0.25">
      <c r="A202">
        <v>115093</v>
      </c>
      <c r="B202" t="s">
        <v>9</v>
      </c>
      <c r="C202" t="s">
        <v>76</v>
      </c>
      <c r="D202" t="s">
        <v>10</v>
      </c>
      <c r="E202" t="s">
        <v>11</v>
      </c>
      <c r="F202" t="s">
        <v>18</v>
      </c>
      <c r="G202" t="s">
        <v>16</v>
      </c>
      <c r="H202">
        <v>2001</v>
      </c>
      <c r="I202">
        <v>1</v>
      </c>
      <c r="J202" s="2" t="s">
        <v>17</v>
      </c>
    </row>
    <row r="203" spans="1:10" x14ac:dyDescent="0.25">
      <c r="A203">
        <v>115093</v>
      </c>
      <c r="B203" t="s">
        <v>9</v>
      </c>
      <c r="C203" t="s">
        <v>76</v>
      </c>
      <c r="D203" t="s">
        <v>10</v>
      </c>
      <c r="E203" t="s">
        <v>24</v>
      </c>
      <c r="F203" t="s">
        <v>25</v>
      </c>
      <c r="G203" t="s">
        <v>16</v>
      </c>
      <c r="H203">
        <v>2001</v>
      </c>
      <c r="I203">
        <v>2</v>
      </c>
      <c r="J203" s="2" t="s">
        <v>17</v>
      </c>
    </row>
    <row r="204" spans="1:10" x14ac:dyDescent="0.25">
      <c r="A204">
        <v>115093</v>
      </c>
      <c r="B204" t="s">
        <v>9</v>
      </c>
      <c r="C204" t="s">
        <v>76</v>
      </c>
      <c r="D204" t="s">
        <v>10</v>
      </c>
      <c r="E204" t="s">
        <v>24</v>
      </c>
      <c r="F204" t="s">
        <v>25</v>
      </c>
      <c r="G204" t="s">
        <v>26</v>
      </c>
      <c r="H204">
        <v>2001</v>
      </c>
      <c r="I204">
        <v>1</v>
      </c>
      <c r="J204" s="2" t="s">
        <v>17</v>
      </c>
    </row>
    <row r="205" spans="1:10" x14ac:dyDescent="0.25">
      <c r="A205">
        <v>115093</v>
      </c>
      <c r="B205" t="s">
        <v>9</v>
      </c>
      <c r="C205" t="s">
        <v>76</v>
      </c>
      <c r="D205" t="s">
        <v>10</v>
      </c>
      <c r="E205" t="s">
        <v>33</v>
      </c>
      <c r="F205" t="s">
        <v>34</v>
      </c>
      <c r="G205" t="s">
        <v>16</v>
      </c>
      <c r="H205">
        <v>2001</v>
      </c>
      <c r="I205">
        <v>1</v>
      </c>
      <c r="J205" s="2" t="s">
        <v>17</v>
      </c>
    </row>
    <row r="206" spans="1:10" x14ac:dyDescent="0.25">
      <c r="A206">
        <v>115093</v>
      </c>
      <c r="B206" t="s">
        <v>9</v>
      </c>
      <c r="C206" t="s">
        <v>76</v>
      </c>
      <c r="D206" t="s">
        <v>10</v>
      </c>
      <c r="E206" t="s">
        <v>49</v>
      </c>
      <c r="F206" t="s">
        <v>50</v>
      </c>
      <c r="G206" t="s">
        <v>16</v>
      </c>
      <c r="H206">
        <v>2001</v>
      </c>
      <c r="I206">
        <v>2</v>
      </c>
      <c r="J206" s="2" t="s">
        <v>17</v>
      </c>
    </row>
    <row r="207" spans="1:10" x14ac:dyDescent="0.25">
      <c r="A207">
        <v>115093</v>
      </c>
      <c r="B207" t="s">
        <v>9</v>
      </c>
      <c r="C207" t="s">
        <v>76</v>
      </c>
      <c r="D207" t="s">
        <v>10</v>
      </c>
      <c r="E207" t="s">
        <v>49</v>
      </c>
      <c r="F207" t="s">
        <v>50</v>
      </c>
      <c r="G207" t="s">
        <v>26</v>
      </c>
      <c r="H207">
        <v>2001</v>
      </c>
      <c r="I207">
        <v>2</v>
      </c>
      <c r="J207" s="2" t="s">
        <v>17</v>
      </c>
    </row>
    <row r="208" spans="1:10" x14ac:dyDescent="0.25">
      <c r="A208">
        <v>7440439</v>
      </c>
      <c r="B208" t="s">
        <v>82</v>
      </c>
      <c r="C208" t="s">
        <v>82</v>
      </c>
      <c r="D208" t="s">
        <v>10</v>
      </c>
      <c r="E208" t="s">
        <v>44</v>
      </c>
      <c r="F208" t="s">
        <v>87</v>
      </c>
      <c r="G208" t="s">
        <v>13</v>
      </c>
      <c r="H208">
        <v>1974</v>
      </c>
      <c r="I208">
        <v>15</v>
      </c>
      <c r="J208" s="2" t="s">
        <v>88</v>
      </c>
    </row>
    <row r="209" spans="1:10" x14ac:dyDescent="0.25">
      <c r="A209">
        <v>10108642</v>
      </c>
      <c r="B209" t="s">
        <v>204</v>
      </c>
      <c r="C209" t="s">
        <v>82</v>
      </c>
      <c r="D209" t="s">
        <v>10</v>
      </c>
      <c r="E209" t="s">
        <v>24</v>
      </c>
      <c r="F209" t="s">
        <v>24</v>
      </c>
      <c r="G209" t="s">
        <v>13</v>
      </c>
      <c r="H209">
        <v>1977</v>
      </c>
      <c r="I209">
        <v>2</v>
      </c>
      <c r="J209" s="2" t="s">
        <v>205</v>
      </c>
    </row>
    <row r="210" spans="1:10" x14ac:dyDescent="0.25">
      <c r="A210">
        <v>10108642</v>
      </c>
      <c r="B210" t="s">
        <v>204</v>
      </c>
      <c r="C210" t="s">
        <v>82</v>
      </c>
      <c r="D210" t="s">
        <v>10</v>
      </c>
      <c r="E210" t="s">
        <v>24</v>
      </c>
      <c r="F210" t="s">
        <v>24</v>
      </c>
      <c r="G210" t="s">
        <v>32</v>
      </c>
      <c r="H210">
        <v>1977</v>
      </c>
      <c r="I210">
        <v>8</v>
      </c>
      <c r="J210" s="2" t="s">
        <v>205</v>
      </c>
    </row>
    <row r="211" spans="1:10" x14ac:dyDescent="0.25">
      <c r="A211">
        <v>7440508</v>
      </c>
      <c r="B211" t="s">
        <v>101</v>
      </c>
      <c r="C211" t="s">
        <v>101</v>
      </c>
      <c r="D211" t="s">
        <v>10</v>
      </c>
      <c r="E211" t="s">
        <v>49</v>
      </c>
      <c r="F211" t="s">
        <v>50</v>
      </c>
      <c r="G211" t="s">
        <v>109</v>
      </c>
      <c r="H211">
        <v>1999</v>
      </c>
      <c r="I211">
        <v>1</v>
      </c>
      <c r="J211" s="2" t="s">
        <v>110</v>
      </c>
    </row>
    <row r="212" spans="1:10" x14ac:dyDescent="0.25">
      <c r="A212">
        <v>22967926</v>
      </c>
      <c r="B212" t="s">
        <v>229</v>
      </c>
      <c r="C212" t="s">
        <v>76</v>
      </c>
      <c r="D212" t="s">
        <v>10</v>
      </c>
      <c r="E212" t="s">
        <v>93</v>
      </c>
      <c r="F212" t="s">
        <v>213</v>
      </c>
      <c r="G212" t="s">
        <v>13</v>
      </c>
      <c r="H212">
        <v>1988</v>
      </c>
      <c r="I212">
        <v>1</v>
      </c>
      <c r="J212" s="2" t="s">
        <v>239</v>
      </c>
    </row>
    <row r="213" spans="1:10" x14ac:dyDescent="0.25">
      <c r="A213">
        <v>10108642</v>
      </c>
      <c r="B213" t="s">
        <v>204</v>
      </c>
      <c r="C213" t="s">
        <v>82</v>
      </c>
      <c r="D213" t="s">
        <v>10</v>
      </c>
      <c r="E213" t="s">
        <v>55</v>
      </c>
      <c r="F213" t="s">
        <v>57</v>
      </c>
      <c r="G213" t="s">
        <v>13</v>
      </c>
      <c r="H213">
        <v>1980</v>
      </c>
      <c r="I213">
        <v>1</v>
      </c>
      <c r="J213" s="2" t="s">
        <v>215</v>
      </c>
    </row>
    <row r="214" spans="1:10" x14ac:dyDescent="0.25">
      <c r="A214">
        <v>10108642</v>
      </c>
      <c r="B214" t="s">
        <v>204</v>
      </c>
      <c r="C214" t="s">
        <v>82</v>
      </c>
      <c r="D214" t="s">
        <v>10</v>
      </c>
      <c r="E214" t="s">
        <v>49</v>
      </c>
      <c r="F214" t="s">
        <v>51</v>
      </c>
      <c r="G214" t="s">
        <v>13</v>
      </c>
      <c r="H214">
        <v>1980</v>
      </c>
      <c r="I214">
        <v>1</v>
      </c>
      <c r="J214" s="2" t="s">
        <v>215</v>
      </c>
    </row>
    <row r="215" spans="1:10" x14ac:dyDescent="0.25">
      <c r="A215">
        <v>115093</v>
      </c>
      <c r="B215" t="s">
        <v>9</v>
      </c>
      <c r="C215" t="s">
        <v>76</v>
      </c>
      <c r="D215" t="s">
        <v>10</v>
      </c>
      <c r="E215" t="s">
        <v>19</v>
      </c>
      <c r="F215" t="s">
        <v>20</v>
      </c>
      <c r="G215" t="s">
        <v>13</v>
      </c>
      <c r="H215">
        <v>1974</v>
      </c>
      <c r="I215">
        <v>1</v>
      </c>
      <c r="J215" s="2" t="s">
        <v>21</v>
      </c>
    </row>
    <row r="216" spans="1:10" x14ac:dyDescent="0.25">
      <c r="A216">
        <v>115093</v>
      </c>
      <c r="B216" t="s">
        <v>9</v>
      </c>
      <c r="C216" t="s">
        <v>76</v>
      </c>
      <c r="D216" t="s">
        <v>10</v>
      </c>
      <c r="E216" t="s">
        <v>19</v>
      </c>
      <c r="F216" t="s">
        <v>22</v>
      </c>
      <c r="G216" t="s">
        <v>13</v>
      </c>
      <c r="H216">
        <v>1974</v>
      </c>
      <c r="I216">
        <v>1</v>
      </c>
      <c r="J216" s="2" t="s">
        <v>21</v>
      </c>
    </row>
    <row r="217" spans="1:10" x14ac:dyDescent="0.25">
      <c r="A217">
        <v>115093</v>
      </c>
      <c r="B217" t="s">
        <v>9</v>
      </c>
      <c r="C217" t="s">
        <v>76</v>
      </c>
      <c r="D217" t="s">
        <v>10</v>
      </c>
      <c r="E217" t="s">
        <v>49</v>
      </c>
      <c r="F217" t="s">
        <v>50</v>
      </c>
      <c r="G217" t="s">
        <v>13</v>
      </c>
      <c r="H217">
        <v>1974</v>
      </c>
      <c r="I217">
        <v>1</v>
      </c>
      <c r="J217" s="2" t="s">
        <v>21</v>
      </c>
    </row>
    <row r="218" spans="1:10" x14ac:dyDescent="0.25">
      <c r="A218">
        <v>7487947</v>
      </c>
      <c r="B218" t="s">
        <v>117</v>
      </c>
      <c r="C218" t="s">
        <v>76</v>
      </c>
      <c r="D218" t="s">
        <v>10</v>
      </c>
      <c r="E218" t="s">
        <v>19</v>
      </c>
      <c r="F218" t="s">
        <v>20</v>
      </c>
      <c r="G218" t="s">
        <v>13</v>
      </c>
      <c r="H218">
        <v>1974</v>
      </c>
      <c r="I218">
        <v>1</v>
      </c>
      <c r="J218" s="2" t="s">
        <v>21</v>
      </c>
    </row>
    <row r="219" spans="1:10" x14ac:dyDescent="0.25">
      <c r="A219">
        <v>7487947</v>
      </c>
      <c r="B219" t="s">
        <v>117</v>
      </c>
      <c r="C219" t="s">
        <v>76</v>
      </c>
      <c r="D219" t="s">
        <v>10</v>
      </c>
      <c r="E219" t="s">
        <v>19</v>
      </c>
      <c r="F219" t="s">
        <v>22</v>
      </c>
      <c r="G219" t="s">
        <v>13</v>
      </c>
      <c r="H219">
        <v>1974</v>
      </c>
      <c r="I219">
        <v>1</v>
      </c>
      <c r="J219" s="2" t="s">
        <v>21</v>
      </c>
    </row>
    <row r="220" spans="1:10" x14ac:dyDescent="0.25">
      <c r="A220">
        <v>7487947</v>
      </c>
      <c r="B220" t="s">
        <v>117</v>
      </c>
      <c r="C220" t="s">
        <v>76</v>
      </c>
      <c r="D220" t="s">
        <v>10</v>
      </c>
      <c r="E220" t="s">
        <v>49</v>
      </c>
      <c r="F220" t="s">
        <v>50</v>
      </c>
      <c r="G220" t="s">
        <v>13</v>
      </c>
      <c r="H220">
        <v>1974</v>
      </c>
      <c r="I220">
        <v>1</v>
      </c>
      <c r="J220" s="2" t="s">
        <v>21</v>
      </c>
    </row>
    <row r="221" spans="1:10" x14ac:dyDescent="0.25">
      <c r="A221">
        <v>10108642</v>
      </c>
      <c r="B221" t="s">
        <v>204</v>
      </c>
      <c r="C221" t="s">
        <v>82</v>
      </c>
      <c r="D221" t="s">
        <v>10</v>
      </c>
      <c r="E221" t="s">
        <v>93</v>
      </c>
      <c r="F221" t="s">
        <v>211</v>
      </c>
      <c r="G221" t="s">
        <v>16</v>
      </c>
      <c r="H221">
        <v>2009</v>
      </c>
      <c r="I221">
        <v>2</v>
      </c>
      <c r="J221" s="2" t="s">
        <v>212</v>
      </c>
    </row>
    <row r="222" spans="1:10" x14ac:dyDescent="0.25">
      <c r="A222">
        <v>10108642</v>
      </c>
      <c r="B222" t="s">
        <v>204</v>
      </c>
      <c r="C222" t="s">
        <v>82</v>
      </c>
      <c r="D222" t="s">
        <v>10</v>
      </c>
      <c r="E222" t="s">
        <v>93</v>
      </c>
      <c r="F222" t="s">
        <v>211</v>
      </c>
      <c r="G222" t="s">
        <v>26</v>
      </c>
      <c r="H222">
        <v>2009</v>
      </c>
      <c r="I222">
        <v>4</v>
      </c>
      <c r="J222" s="2" t="s">
        <v>212</v>
      </c>
    </row>
    <row r="223" spans="1:10" x14ac:dyDescent="0.25">
      <c r="A223">
        <v>7646857</v>
      </c>
      <c r="B223" t="s">
        <v>147</v>
      </c>
      <c r="C223" t="s">
        <v>259</v>
      </c>
      <c r="D223" t="s">
        <v>10</v>
      </c>
      <c r="E223" t="s">
        <v>19</v>
      </c>
      <c r="F223" t="s">
        <v>148</v>
      </c>
      <c r="G223" t="s">
        <v>13</v>
      </c>
      <c r="H223">
        <v>1987</v>
      </c>
      <c r="I223">
        <v>1</v>
      </c>
      <c r="J223" s="2" t="s">
        <v>149</v>
      </c>
    </row>
    <row r="224" spans="1:10" x14ac:dyDescent="0.25">
      <c r="A224">
        <v>7646857</v>
      </c>
      <c r="B224" t="s">
        <v>147</v>
      </c>
      <c r="C224" t="s">
        <v>259</v>
      </c>
      <c r="D224" t="s">
        <v>10</v>
      </c>
      <c r="E224" t="s">
        <v>64</v>
      </c>
      <c r="F224" t="s">
        <v>65</v>
      </c>
      <c r="G224" t="s">
        <v>13</v>
      </c>
      <c r="H224">
        <v>1987</v>
      </c>
      <c r="I224">
        <v>1</v>
      </c>
      <c r="J224" s="2" t="s">
        <v>149</v>
      </c>
    </row>
    <row r="225" spans="1:10" x14ac:dyDescent="0.25">
      <c r="A225">
        <v>7646857</v>
      </c>
      <c r="B225" t="s">
        <v>147</v>
      </c>
      <c r="C225" t="s">
        <v>259</v>
      </c>
      <c r="D225" t="s">
        <v>10</v>
      </c>
      <c r="E225" t="s">
        <v>84</v>
      </c>
      <c r="F225" t="s">
        <v>105</v>
      </c>
      <c r="G225" t="s">
        <v>13</v>
      </c>
      <c r="H225">
        <v>1987</v>
      </c>
      <c r="I225">
        <v>2</v>
      </c>
      <c r="J225" s="2" t="s">
        <v>149</v>
      </c>
    </row>
    <row r="226" spans="1:10" x14ac:dyDescent="0.25">
      <c r="A226">
        <v>7646857</v>
      </c>
      <c r="B226" t="s">
        <v>147</v>
      </c>
      <c r="C226" t="s">
        <v>259</v>
      </c>
      <c r="D226" t="s">
        <v>10</v>
      </c>
      <c r="E226" t="s">
        <v>49</v>
      </c>
      <c r="F226" t="s">
        <v>51</v>
      </c>
      <c r="G226" t="s">
        <v>13</v>
      </c>
      <c r="H226">
        <v>1987</v>
      </c>
      <c r="I226">
        <v>1</v>
      </c>
      <c r="J226" s="2" t="s">
        <v>149</v>
      </c>
    </row>
    <row r="227" spans="1:10" x14ac:dyDescent="0.25">
      <c r="A227">
        <v>10108642</v>
      </c>
      <c r="B227" t="s">
        <v>204</v>
      </c>
      <c r="C227" t="s">
        <v>82</v>
      </c>
      <c r="D227" t="s">
        <v>10</v>
      </c>
      <c r="E227" t="s">
        <v>19</v>
      </c>
      <c r="F227" t="s">
        <v>148</v>
      </c>
      <c r="G227" t="s">
        <v>13</v>
      </c>
      <c r="H227">
        <v>1987</v>
      </c>
      <c r="I227">
        <v>1</v>
      </c>
      <c r="J227" s="2" t="s">
        <v>149</v>
      </c>
    </row>
    <row r="228" spans="1:10" x14ac:dyDescent="0.25">
      <c r="A228">
        <v>10108642</v>
      </c>
      <c r="B228" t="s">
        <v>204</v>
      </c>
      <c r="C228" t="s">
        <v>82</v>
      </c>
      <c r="D228" t="s">
        <v>10</v>
      </c>
      <c r="E228" t="s">
        <v>64</v>
      </c>
      <c r="F228" t="s">
        <v>65</v>
      </c>
      <c r="G228" t="s">
        <v>13</v>
      </c>
      <c r="H228">
        <v>1987</v>
      </c>
      <c r="I228">
        <v>1</v>
      </c>
      <c r="J228" s="2" t="s">
        <v>149</v>
      </c>
    </row>
    <row r="229" spans="1:10" x14ac:dyDescent="0.25">
      <c r="A229">
        <v>10108642</v>
      </c>
      <c r="B229" t="s">
        <v>204</v>
      </c>
      <c r="C229" t="s">
        <v>82</v>
      </c>
      <c r="D229" t="s">
        <v>10</v>
      </c>
      <c r="E229" t="s">
        <v>84</v>
      </c>
      <c r="F229" t="s">
        <v>105</v>
      </c>
      <c r="G229" t="s">
        <v>13</v>
      </c>
      <c r="H229">
        <v>1987</v>
      </c>
      <c r="I229">
        <v>2</v>
      </c>
      <c r="J229" s="2" t="s">
        <v>149</v>
      </c>
    </row>
    <row r="230" spans="1:10" x14ac:dyDescent="0.25">
      <c r="A230">
        <v>10108642</v>
      </c>
      <c r="B230" t="s">
        <v>204</v>
      </c>
      <c r="C230" t="s">
        <v>82</v>
      </c>
      <c r="D230" t="s">
        <v>10</v>
      </c>
      <c r="E230" t="s">
        <v>49</v>
      </c>
      <c r="F230" t="s">
        <v>51</v>
      </c>
      <c r="G230" t="s">
        <v>13</v>
      </c>
      <c r="H230">
        <v>1987</v>
      </c>
      <c r="I230">
        <v>1</v>
      </c>
      <c r="J230" s="2" t="s">
        <v>149</v>
      </c>
    </row>
    <row r="231" spans="1:10" x14ac:dyDescent="0.25">
      <c r="A231">
        <v>7646857</v>
      </c>
      <c r="B231" t="s">
        <v>147</v>
      </c>
      <c r="C231" t="s">
        <v>259</v>
      </c>
      <c r="D231" t="s">
        <v>10</v>
      </c>
      <c r="E231" t="s">
        <v>49</v>
      </c>
      <c r="F231" t="s">
        <v>51</v>
      </c>
      <c r="G231" t="s">
        <v>13</v>
      </c>
      <c r="H231">
        <v>1984</v>
      </c>
      <c r="I231">
        <v>1</v>
      </c>
      <c r="J231" s="2" t="s">
        <v>156</v>
      </c>
    </row>
    <row r="232" spans="1:10" x14ac:dyDescent="0.25">
      <c r="A232">
        <v>7646857</v>
      </c>
      <c r="B232" t="s">
        <v>147</v>
      </c>
      <c r="C232" t="s">
        <v>259</v>
      </c>
      <c r="D232" t="s">
        <v>10</v>
      </c>
      <c r="E232" t="s">
        <v>49</v>
      </c>
      <c r="F232" t="s">
        <v>51</v>
      </c>
      <c r="G232" t="s">
        <v>13</v>
      </c>
      <c r="H232">
        <v>1989</v>
      </c>
      <c r="I232">
        <v>1</v>
      </c>
      <c r="J232" s="2" t="s">
        <v>155</v>
      </c>
    </row>
    <row r="233" spans="1:10" x14ac:dyDescent="0.25">
      <c r="A233">
        <v>7646857</v>
      </c>
      <c r="B233" t="s">
        <v>147</v>
      </c>
      <c r="C233" t="s">
        <v>259</v>
      </c>
      <c r="D233" t="s">
        <v>10</v>
      </c>
      <c r="E233" t="s">
        <v>64</v>
      </c>
      <c r="F233" t="s">
        <v>65</v>
      </c>
      <c r="G233" t="s">
        <v>13</v>
      </c>
      <c r="H233">
        <v>1989</v>
      </c>
      <c r="I233">
        <v>1</v>
      </c>
      <c r="J233" s="2" t="s">
        <v>154</v>
      </c>
    </row>
    <row r="234" spans="1:10" x14ac:dyDescent="0.25">
      <c r="A234">
        <v>7487947</v>
      </c>
      <c r="B234" t="s">
        <v>117</v>
      </c>
      <c r="C234" t="s">
        <v>76</v>
      </c>
      <c r="D234" t="s">
        <v>10</v>
      </c>
      <c r="E234" t="s">
        <v>24</v>
      </c>
      <c r="F234" t="s">
        <v>24</v>
      </c>
      <c r="G234" t="s">
        <v>13</v>
      </c>
      <c r="H234">
        <v>1980</v>
      </c>
      <c r="I234">
        <v>1</v>
      </c>
      <c r="J234" s="2" t="s">
        <v>122</v>
      </c>
    </row>
    <row r="235" spans="1:10" x14ac:dyDescent="0.25">
      <c r="A235">
        <v>7487947</v>
      </c>
      <c r="B235" t="s">
        <v>117</v>
      </c>
      <c r="C235" t="s">
        <v>76</v>
      </c>
      <c r="D235" t="s">
        <v>10</v>
      </c>
      <c r="E235" t="s">
        <v>24</v>
      </c>
      <c r="F235" t="s">
        <v>24</v>
      </c>
      <c r="G235" t="s">
        <v>32</v>
      </c>
      <c r="H235">
        <v>1980</v>
      </c>
      <c r="I235">
        <v>4</v>
      </c>
      <c r="J235" s="2" t="s">
        <v>122</v>
      </c>
    </row>
    <row r="236" spans="1:10" x14ac:dyDescent="0.25">
      <c r="A236">
        <v>7487947</v>
      </c>
      <c r="B236" t="s">
        <v>117</v>
      </c>
      <c r="C236" t="s">
        <v>76</v>
      </c>
      <c r="D236" t="s">
        <v>10</v>
      </c>
      <c r="E236" t="s">
        <v>24</v>
      </c>
      <c r="F236" t="s">
        <v>126</v>
      </c>
      <c r="G236" t="s">
        <v>13</v>
      </c>
      <c r="H236">
        <v>1980</v>
      </c>
      <c r="I236">
        <v>1</v>
      </c>
      <c r="J236" s="2" t="s">
        <v>122</v>
      </c>
    </row>
    <row r="237" spans="1:10" x14ac:dyDescent="0.25">
      <c r="A237">
        <v>7487947</v>
      </c>
      <c r="B237" t="s">
        <v>117</v>
      </c>
      <c r="C237" t="s">
        <v>76</v>
      </c>
      <c r="D237" t="s">
        <v>10</v>
      </c>
      <c r="E237" t="s">
        <v>24</v>
      </c>
      <c r="F237" t="s">
        <v>126</v>
      </c>
      <c r="G237" t="s">
        <v>127</v>
      </c>
      <c r="H237">
        <v>1980</v>
      </c>
      <c r="I237">
        <v>4</v>
      </c>
      <c r="J237" s="2" t="s">
        <v>122</v>
      </c>
    </row>
    <row r="238" spans="1:10" x14ac:dyDescent="0.25">
      <c r="A238">
        <v>7487947</v>
      </c>
      <c r="B238" t="s">
        <v>117</v>
      </c>
      <c r="C238" t="s">
        <v>76</v>
      </c>
      <c r="D238" t="s">
        <v>10</v>
      </c>
      <c r="E238" t="s">
        <v>33</v>
      </c>
      <c r="F238" t="s">
        <v>39</v>
      </c>
      <c r="G238" t="s">
        <v>127</v>
      </c>
      <c r="H238">
        <v>1980</v>
      </c>
      <c r="I238">
        <v>4</v>
      </c>
      <c r="J238" s="2" t="s">
        <v>122</v>
      </c>
    </row>
    <row r="239" spans="1:10" x14ac:dyDescent="0.25">
      <c r="A239">
        <v>115093</v>
      </c>
      <c r="B239" t="s">
        <v>9</v>
      </c>
      <c r="C239" t="s">
        <v>76</v>
      </c>
      <c r="D239" t="s">
        <v>10</v>
      </c>
      <c r="E239" t="s">
        <v>24</v>
      </c>
      <c r="F239" t="s">
        <v>24</v>
      </c>
      <c r="G239" t="s">
        <v>13</v>
      </c>
      <c r="H239">
        <v>1982</v>
      </c>
      <c r="I239">
        <v>11</v>
      </c>
      <c r="J239" s="2" t="s">
        <v>27</v>
      </c>
    </row>
    <row r="240" spans="1:10" x14ac:dyDescent="0.25">
      <c r="A240">
        <v>115093</v>
      </c>
      <c r="B240" t="s">
        <v>9</v>
      </c>
      <c r="C240" t="s">
        <v>76</v>
      </c>
      <c r="D240" t="s">
        <v>10</v>
      </c>
      <c r="E240" t="s">
        <v>24</v>
      </c>
      <c r="F240" t="s">
        <v>24</v>
      </c>
      <c r="G240" t="s">
        <v>32</v>
      </c>
      <c r="H240">
        <v>1982</v>
      </c>
      <c r="I240">
        <v>4</v>
      </c>
      <c r="J240" s="2" t="s">
        <v>27</v>
      </c>
    </row>
    <row r="241" spans="1:10" x14ac:dyDescent="0.25">
      <c r="A241">
        <v>7487947</v>
      </c>
      <c r="B241" t="s">
        <v>117</v>
      </c>
      <c r="C241" t="s">
        <v>76</v>
      </c>
      <c r="D241" t="s">
        <v>10</v>
      </c>
      <c r="E241" t="s">
        <v>24</v>
      </c>
      <c r="F241" t="s">
        <v>24</v>
      </c>
      <c r="G241" t="s">
        <v>13</v>
      </c>
      <c r="H241">
        <v>1982</v>
      </c>
      <c r="I241">
        <v>15</v>
      </c>
      <c r="J241" s="2" t="s">
        <v>27</v>
      </c>
    </row>
    <row r="242" spans="1:10" x14ac:dyDescent="0.25">
      <c r="A242">
        <v>13464374</v>
      </c>
      <c r="B242" t="s">
        <v>221</v>
      </c>
      <c r="C242" t="s">
        <v>252</v>
      </c>
      <c r="D242" t="s">
        <v>10</v>
      </c>
      <c r="E242" t="s">
        <v>24</v>
      </c>
      <c r="F242" t="s">
        <v>24</v>
      </c>
      <c r="G242" t="s">
        <v>26</v>
      </c>
      <c r="H242">
        <v>2007</v>
      </c>
      <c r="I242">
        <v>4</v>
      </c>
      <c r="J242" s="2" t="s">
        <v>223</v>
      </c>
    </row>
    <row r="243" spans="1:10" x14ac:dyDescent="0.25">
      <c r="A243">
        <v>13464374</v>
      </c>
      <c r="B243" t="s">
        <v>221</v>
      </c>
      <c r="C243" t="s">
        <v>252</v>
      </c>
      <c r="D243" t="s">
        <v>10</v>
      </c>
      <c r="E243" t="s">
        <v>24</v>
      </c>
      <c r="F243" t="s">
        <v>24</v>
      </c>
      <c r="G243" t="s">
        <v>224</v>
      </c>
      <c r="H243">
        <v>2007</v>
      </c>
      <c r="I243">
        <v>1</v>
      </c>
      <c r="J243" s="2" t="s">
        <v>223</v>
      </c>
    </row>
    <row r="244" spans="1:10" x14ac:dyDescent="0.25">
      <c r="A244">
        <v>13464374</v>
      </c>
      <c r="B244" t="s">
        <v>221</v>
      </c>
      <c r="C244" t="s">
        <v>252</v>
      </c>
      <c r="D244" t="s">
        <v>10</v>
      </c>
      <c r="E244" t="s">
        <v>24</v>
      </c>
      <c r="F244" t="s">
        <v>24</v>
      </c>
      <c r="G244" t="s">
        <v>32</v>
      </c>
      <c r="H244">
        <v>2007</v>
      </c>
      <c r="I244">
        <v>1</v>
      </c>
      <c r="J244" s="2" t="s">
        <v>223</v>
      </c>
    </row>
    <row r="245" spans="1:10" x14ac:dyDescent="0.25">
      <c r="A245">
        <v>13464374</v>
      </c>
      <c r="B245" t="s">
        <v>221</v>
      </c>
      <c r="C245" t="s">
        <v>252</v>
      </c>
      <c r="D245" t="s">
        <v>10</v>
      </c>
      <c r="E245" t="s">
        <v>24</v>
      </c>
      <c r="F245" t="s">
        <v>24</v>
      </c>
      <c r="G245" t="s">
        <v>177</v>
      </c>
      <c r="H245">
        <v>2007</v>
      </c>
      <c r="I245">
        <v>1</v>
      </c>
      <c r="J245" s="2" t="s">
        <v>223</v>
      </c>
    </row>
    <row r="246" spans="1:10" x14ac:dyDescent="0.25">
      <c r="A246">
        <v>13464374</v>
      </c>
      <c r="B246" t="s">
        <v>221</v>
      </c>
      <c r="C246" t="s">
        <v>252</v>
      </c>
      <c r="D246" t="s">
        <v>10</v>
      </c>
      <c r="E246" t="s">
        <v>93</v>
      </c>
      <c r="F246" t="s">
        <v>227</v>
      </c>
      <c r="G246" t="s">
        <v>16</v>
      </c>
      <c r="H246">
        <v>2007</v>
      </c>
      <c r="I246">
        <v>1</v>
      </c>
      <c r="J246" s="2" t="s">
        <v>223</v>
      </c>
    </row>
    <row r="247" spans="1:10" x14ac:dyDescent="0.25">
      <c r="A247">
        <v>13464374</v>
      </c>
      <c r="B247" t="s">
        <v>221</v>
      </c>
      <c r="C247" t="s">
        <v>252</v>
      </c>
      <c r="D247" t="s">
        <v>10</v>
      </c>
      <c r="E247" t="s">
        <v>93</v>
      </c>
      <c r="F247" t="s">
        <v>227</v>
      </c>
      <c r="G247" t="s">
        <v>26</v>
      </c>
      <c r="H247">
        <v>2007</v>
      </c>
      <c r="I247">
        <v>1</v>
      </c>
      <c r="J247" s="2" t="s">
        <v>223</v>
      </c>
    </row>
    <row r="248" spans="1:10" x14ac:dyDescent="0.25">
      <c r="A248">
        <v>13464374</v>
      </c>
      <c r="B248" t="s">
        <v>221</v>
      </c>
      <c r="C248" t="s">
        <v>252</v>
      </c>
      <c r="D248" t="s">
        <v>10</v>
      </c>
      <c r="E248" t="s">
        <v>49</v>
      </c>
      <c r="F248" t="s">
        <v>50</v>
      </c>
      <c r="G248" t="s">
        <v>13</v>
      </c>
      <c r="H248">
        <v>2007</v>
      </c>
      <c r="I248">
        <v>1</v>
      </c>
      <c r="J248" s="2" t="s">
        <v>223</v>
      </c>
    </row>
    <row r="249" spans="1:10" x14ac:dyDescent="0.25">
      <c r="A249">
        <v>7784465</v>
      </c>
      <c r="B249" t="s">
        <v>169</v>
      </c>
      <c r="C249" t="s">
        <v>252</v>
      </c>
      <c r="D249" t="s">
        <v>10</v>
      </c>
      <c r="E249" t="s">
        <v>24</v>
      </c>
      <c r="F249" t="s">
        <v>24</v>
      </c>
      <c r="G249" t="s">
        <v>16</v>
      </c>
      <c r="H249">
        <v>2007</v>
      </c>
      <c r="I249">
        <v>8</v>
      </c>
      <c r="J249" s="2" t="s">
        <v>176</v>
      </c>
    </row>
    <row r="250" spans="1:10" x14ac:dyDescent="0.25">
      <c r="A250">
        <v>7784465</v>
      </c>
      <c r="B250" t="s">
        <v>169</v>
      </c>
      <c r="C250" t="s">
        <v>252</v>
      </c>
      <c r="D250" t="s">
        <v>10</v>
      </c>
      <c r="E250" t="s">
        <v>24</v>
      </c>
      <c r="F250" t="s">
        <v>24</v>
      </c>
      <c r="G250" t="s">
        <v>26</v>
      </c>
      <c r="H250">
        <v>2007</v>
      </c>
      <c r="I250">
        <v>3</v>
      </c>
      <c r="J250" s="2" t="s">
        <v>176</v>
      </c>
    </row>
    <row r="251" spans="1:10" x14ac:dyDescent="0.25">
      <c r="A251">
        <v>7784465</v>
      </c>
      <c r="B251" t="s">
        <v>169</v>
      </c>
      <c r="C251" t="s">
        <v>252</v>
      </c>
      <c r="D251" t="s">
        <v>10</v>
      </c>
      <c r="E251" t="s">
        <v>24</v>
      </c>
      <c r="F251" t="s">
        <v>24</v>
      </c>
      <c r="G251" t="s">
        <v>32</v>
      </c>
      <c r="H251">
        <v>2007</v>
      </c>
      <c r="I251">
        <v>3</v>
      </c>
      <c r="J251" s="2" t="s">
        <v>176</v>
      </c>
    </row>
    <row r="252" spans="1:10" x14ac:dyDescent="0.25">
      <c r="A252">
        <v>7784465</v>
      </c>
      <c r="B252" t="s">
        <v>169</v>
      </c>
      <c r="C252" t="s">
        <v>252</v>
      </c>
      <c r="D252" t="s">
        <v>10</v>
      </c>
      <c r="E252" t="s">
        <v>24</v>
      </c>
      <c r="F252" t="s">
        <v>24</v>
      </c>
      <c r="G252" t="s">
        <v>177</v>
      </c>
      <c r="H252">
        <v>2007</v>
      </c>
      <c r="I252">
        <v>3</v>
      </c>
      <c r="J252" s="2" t="s">
        <v>176</v>
      </c>
    </row>
    <row r="253" spans="1:10" x14ac:dyDescent="0.25">
      <c r="A253">
        <v>7784465</v>
      </c>
      <c r="B253" t="s">
        <v>169</v>
      </c>
      <c r="C253" t="s">
        <v>252</v>
      </c>
      <c r="D253" t="s">
        <v>10</v>
      </c>
      <c r="E253" t="s">
        <v>93</v>
      </c>
      <c r="F253" t="s">
        <v>185</v>
      </c>
      <c r="G253" t="s">
        <v>16</v>
      </c>
      <c r="H253">
        <v>2007</v>
      </c>
      <c r="I253">
        <v>5</v>
      </c>
      <c r="J253" s="2" t="s">
        <v>176</v>
      </c>
    </row>
    <row r="254" spans="1:10" x14ac:dyDescent="0.25">
      <c r="A254">
        <v>7784465</v>
      </c>
      <c r="B254" t="s">
        <v>169</v>
      </c>
      <c r="C254" t="s">
        <v>252</v>
      </c>
      <c r="D254" t="s">
        <v>10</v>
      </c>
      <c r="E254" t="s">
        <v>93</v>
      </c>
      <c r="F254" t="s">
        <v>186</v>
      </c>
      <c r="G254" t="s">
        <v>16</v>
      </c>
      <c r="H254">
        <v>2007</v>
      </c>
      <c r="I254">
        <v>5</v>
      </c>
      <c r="J254" s="2" t="s">
        <v>176</v>
      </c>
    </row>
    <row r="255" spans="1:10" x14ac:dyDescent="0.25">
      <c r="A255">
        <v>7784465</v>
      </c>
      <c r="B255" t="s">
        <v>169</v>
      </c>
      <c r="C255" t="s">
        <v>252</v>
      </c>
      <c r="D255" t="s">
        <v>10</v>
      </c>
      <c r="E255" t="s">
        <v>93</v>
      </c>
      <c r="F255" t="s">
        <v>192</v>
      </c>
      <c r="G255" t="s">
        <v>16</v>
      </c>
      <c r="H255">
        <v>2007</v>
      </c>
      <c r="I255">
        <v>1</v>
      </c>
      <c r="J255" s="2" t="s">
        <v>176</v>
      </c>
    </row>
    <row r="256" spans="1:10" x14ac:dyDescent="0.25">
      <c r="A256">
        <v>7784465</v>
      </c>
      <c r="B256" t="s">
        <v>169</v>
      </c>
      <c r="C256" t="s">
        <v>252</v>
      </c>
      <c r="D256" t="s">
        <v>10</v>
      </c>
      <c r="E256" t="s">
        <v>93</v>
      </c>
      <c r="F256" t="s">
        <v>192</v>
      </c>
      <c r="G256" t="s">
        <v>26</v>
      </c>
      <c r="H256">
        <v>2007</v>
      </c>
      <c r="I256">
        <v>4</v>
      </c>
      <c r="J256" s="2" t="s">
        <v>176</v>
      </c>
    </row>
    <row r="257" spans="1:10" x14ac:dyDescent="0.25">
      <c r="A257">
        <v>7784465</v>
      </c>
      <c r="B257" t="s">
        <v>169</v>
      </c>
      <c r="C257" t="s">
        <v>252</v>
      </c>
      <c r="D257" t="s">
        <v>10</v>
      </c>
      <c r="E257" t="s">
        <v>84</v>
      </c>
      <c r="F257" t="s">
        <v>195</v>
      </c>
      <c r="G257" t="s">
        <v>16</v>
      </c>
      <c r="H257">
        <v>2007</v>
      </c>
      <c r="I257">
        <v>10</v>
      </c>
      <c r="J257" s="2" t="s">
        <v>176</v>
      </c>
    </row>
    <row r="258" spans="1:10" x14ac:dyDescent="0.25">
      <c r="A258">
        <v>7784465</v>
      </c>
      <c r="B258" t="s">
        <v>169</v>
      </c>
      <c r="C258" t="s">
        <v>252</v>
      </c>
      <c r="D258" t="s">
        <v>10</v>
      </c>
      <c r="E258" t="s">
        <v>84</v>
      </c>
      <c r="F258" t="s">
        <v>196</v>
      </c>
      <c r="G258" t="s">
        <v>16</v>
      </c>
      <c r="H258">
        <v>2007</v>
      </c>
      <c r="I258">
        <v>1</v>
      </c>
      <c r="J258" s="2" t="s">
        <v>176</v>
      </c>
    </row>
    <row r="259" spans="1:10" x14ac:dyDescent="0.25">
      <c r="A259">
        <v>7784465</v>
      </c>
      <c r="B259" t="s">
        <v>169</v>
      </c>
      <c r="C259" t="s">
        <v>252</v>
      </c>
      <c r="D259" t="s">
        <v>10</v>
      </c>
      <c r="E259" t="s">
        <v>84</v>
      </c>
      <c r="F259" t="s">
        <v>196</v>
      </c>
      <c r="G259" t="s">
        <v>26</v>
      </c>
      <c r="H259">
        <v>2007</v>
      </c>
      <c r="I259">
        <v>1</v>
      </c>
      <c r="J259" s="2" t="s">
        <v>176</v>
      </c>
    </row>
    <row r="260" spans="1:10" x14ac:dyDescent="0.25">
      <c r="A260">
        <v>7784465</v>
      </c>
      <c r="B260" t="s">
        <v>169</v>
      </c>
      <c r="C260" t="s">
        <v>252</v>
      </c>
      <c r="D260" t="s">
        <v>10</v>
      </c>
      <c r="E260" t="s">
        <v>84</v>
      </c>
      <c r="F260" t="s">
        <v>197</v>
      </c>
      <c r="G260" t="s">
        <v>16</v>
      </c>
      <c r="H260">
        <v>2007</v>
      </c>
      <c r="I260">
        <v>4</v>
      </c>
      <c r="J260" s="2" t="s">
        <v>176</v>
      </c>
    </row>
    <row r="261" spans="1:10" x14ac:dyDescent="0.25">
      <c r="A261">
        <v>7784465</v>
      </c>
      <c r="B261" t="s">
        <v>169</v>
      </c>
      <c r="C261" t="s">
        <v>252</v>
      </c>
      <c r="D261" t="s">
        <v>10</v>
      </c>
      <c r="E261" t="s">
        <v>49</v>
      </c>
      <c r="F261" t="s">
        <v>50</v>
      </c>
      <c r="G261" t="s">
        <v>26</v>
      </c>
      <c r="H261">
        <v>2007</v>
      </c>
      <c r="I261">
        <v>1</v>
      </c>
      <c r="J261" s="2" t="s">
        <v>176</v>
      </c>
    </row>
    <row r="262" spans="1:10" x14ac:dyDescent="0.25">
      <c r="A262">
        <v>115093</v>
      </c>
      <c r="B262" t="s">
        <v>9</v>
      </c>
      <c r="C262" t="s">
        <v>76</v>
      </c>
      <c r="D262" t="s">
        <v>10</v>
      </c>
      <c r="E262" t="s">
        <v>49</v>
      </c>
      <c r="F262" t="s">
        <v>51</v>
      </c>
      <c r="G262" t="s">
        <v>13</v>
      </c>
      <c r="H262">
        <v>1977</v>
      </c>
      <c r="I262">
        <v>5</v>
      </c>
      <c r="J262" s="2" t="s">
        <v>52</v>
      </c>
    </row>
    <row r="263" spans="1:10" x14ac:dyDescent="0.25">
      <c r="A263">
        <v>13464374</v>
      </c>
      <c r="B263" t="s">
        <v>221</v>
      </c>
      <c r="C263" t="s">
        <v>252</v>
      </c>
      <c r="D263" t="s">
        <v>10</v>
      </c>
      <c r="E263" t="s">
        <v>24</v>
      </c>
      <c r="F263" t="s">
        <v>25</v>
      </c>
      <c r="G263" t="s">
        <v>16</v>
      </c>
      <c r="H263">
        <v>2017</v>
      </c>
      <c r="I263">
        <v>4</v>
      </c>
      <c r="J263" s="2" t="s">
        <v>222</v>
      </c>
    </row>
    <row r="264" spans="1:10" x14ac:dyDescent="0.25">
      <c r="A264">
        <v>13464374</v>
      </c>
      <c r="B264" t="s">
        <v>221</v>
      </c>
      <c r="C264" t="s">
        <v>252</v>
      </c>
      <c r="D264" t="s">
        <v>10</v>
      </c>
      <c r="E264" t="s">
        <v>24</v>
      </c>
      <c r="F264" t="s">
        <v>126</v>
      </c>
      <c r="G264" t="s">
        <v>16</v>
      </c>
      <c r="H264">
        <v>2017</v>
      </c>
      <c r="I264">
        <v>1</v>
      </c>
      <c r="J264" s="2" t="s">
        <v>222</v>
      </c>
    </row>
    <row r="265" spans="1:10" x14ac:dyDescent="0.25">
      <c r="A265">
        <v>13464374</v>
      </c>
      <c r="B265" t="s">
        <v>221</v>
      </c>
      <c r="C265" t="s">
        <v>252</v>
      </c>
      <c r="D265" t="s">
        <v>10</v>
      </c>
      <c r="E265" t="s">
        <v>33</v>
      </c>
      <c r="F265" t="s">
        <v>194</v>
      </c>
      <c r="G265" t="s">
        <v>16</v>
      </c>
      <c r="H265">
        <v>2017</v>
      </c>
      <c r="I265">
        <v>12</v>
      </c>
      <c r="J265" s="2" t="s">
        <v>222</v>
      </c>
    </row>
    <row r="266" spans="1:10" x14ac:dyDescent="0.25">
      <c r="A266">
        <v>13464374</v>
      </c>
      <c r="B266" t="s">
        <v>221</v>
      </c>
      <c r="C266" t="s">
        <v>252</v>
      </c>
      <c r="D266" t="s">
        <v>10</v>
      </c>
      <c r="E266" t="s">
        <v>33</v>
      </c>
      <c r="F266" t="s">
        <v>194</v>
      </c>
      <c r="G266" t="s">
        <v>26</v>
      </c>
      <c r="H266">
        <v>2017</v>
      </c>
      <c r="I266">
        <v>3</v>
      </c>
      <c r="J266" s="2" t="s">
        <v>222</v>
      </c>
    </row>
    <row r="267" spans="1:10" x14ac:dyDescent="0.25">
      <c r="A267">
        <v>13464374</v>
      </c>
      <c r="B267" t="s">
        <v>221</v>
      </c>
      <c r="C267" t="s">
        <v>252</v>
      </c>
      <c r="D267" t="s">
        <v>10</v>
      </c>
      <c r="E267" t="s">
        <v>33</v>
      </c>
      <c r="F267" t="s">
        <v>183</v>
      </c>
      <c r="G267" t="s">
        <v>16</v>
      </c>
      <c r="H267">
        <v>2017</v>
      </c>
      <c r="I267">
        <v>9</v>
      </c>
      <c r="J267" s="2" t="s">
        <v>222</v>
      </c>
    </row>
    <row r="268" spans="1:10" x14ac:dyDescent="0.25">
      <c r="A268">
        <v>13464374</v>
      </c>
      <c r="B268" t="s">
        <v>221</v>
      </c>
      <c r="C268" t="s">
        <v>252</v>
      </c>
      <c r="D268" t="s">
        <v>10</v>
      </c>
      <c r="E268" t="s">
        <v>33</v>
      </c>
      <c r="F268" t="s">
        <v>183</v>
      </c>
      <c r="G268" t="s">
        <v>26</v>
      </c>
      <c r="H268">
        <v>2017</v>
      </c>
      <c r="I268">
        <v>7</v>
      </c>
      <c r="J268" s="2" t="s">
        <v>222</v>
      </c>
    </row>
    <row r="269" spans="1:10" x14ac:dyDescent="0.25">
      <c r="A269">
        <v>13464374</v>
      </c>
      <c r="B269" t="s">
        <v>221</v>
      </c>
      <c r="C269" t="s">
        <v>252</v>
      </c>
      <c r="D269" t="s">
        <v>10</v>
      </c>
      <c r="E269" t="s">
        <v>93</v>
      </c>
      <c r="F269" t="s">
        <v>225</v>
      </c>
      <c r="G269" t="s">
        <v>13</v>
      </c>
      <c r="H269">
        <v>2017</v>
      </c>
      <c r="I269">
        <v>2</v>
      </c>
      <c r="J269" s="2" t="s">
        <v>222</v>
      </c>
    </row>
    <row r="270" spans="1:10" x14ac:dyDescent="0.25">
      <c r="A270">
        <v>13464374</v>
      </c>
      <c r="B270" t="s">
        <v>221</v>
      </c>
      <c r="C270" t="s">
        <v>252</v>
      </c>
      <c r="D270" t="s">
        <v>10</v>
      </c>
      <c r="E270" t="s">
        <v>93</v>
      </c>
      <c r="F270" t="s">
        <v>225</v>
      </c>
      <c r="G270" t="s">
        <v>16</v>
      </c>
      <c r="H270">
        <v>2017</v>
      </c>
      <c r="I270">
        <v>10</v>
      </c>
      <c r="J270" s="2" t="s">
        <v>222</v>
      </c>
    </row>
    <row r="271" spans="1:10" x14ac:dyDescent="0.25">
      <c r="A271">
        <v>13464374</v>
      </c>
      <c r="B271" t="s">
        <v>221</v>
      </c>
      <c r="C271" t="s">
        <v>252</v>
      </c>
      <c r="D271" t="s">
        <v>10</v>
      </c>
      <c r="E271" t="s">
        <v>93</v>
      </c>
      <c r="F271" t="s">
        <v>225</v>
      </c>
      <c r="G271" t="s">
        <v>26</v>
      </c>
      <c r="H271">
        <v>2017</v>
      </c>
      <c r="I271">
        <v>7</v>
      </c>
      <c r="J271" s="2" t="s">
        <v>222</v>
      </c>
    </row>
    <row r="272" spans="1:10" x14ac:dyDescent="0.25">
      <c r="A272">
        <v>13464374</v>
      </c>
      <c r="B272" t="s">
        <v>221</v>
      </c>
      <c r="C272" t="s">
        <v>252</v>
      </c>
      <c r="D272" t="s">
        <v>10</v>
      </c>
      <c r="E272" t="s">
        <v>93</v>
      </c>
      <c r="F272" t="s">
        <v>226</v>
      </c>
      <c r="G272" t="s">
        <v>13</v>
      </c>
      <c r="H272">
        <v>2017</v>
      </c>
      <c r="I272">
        <v>3</v>
      </c>
      <c r="J272" s="2" t="s">
        <v>222</v>
      </c>
    </row>
    <row r="273" spans="1:10" x14ac:dyDescent="0.25">
      <c r="A273">
        <v>13464374</v>
      </c>
      <c r="B273" t="s">
        <v>221</v>
      </c>
      <c r="C273" t="s">
        <v>252</v>
      </c>
      <c r="D273" t="s">
        <v>10</v>
      </c>
      <c r="E273" t="s">
        <v>93</v>
      </c>
      <c r="F273" t="s">
        <v>226</v>
      </c>
      <c r="G273" t="s">
        <v>16</v>
      </c>
      <c r="H273">
        <v>2017</v>
      </c>
      <c r="I273">
        <v>9</v>
      </c>
      <c r="J273" s="2" t="s">
        <v>222</v>
      </c>
    </row>
    <row r="274" spans="1:10" x14ac:dyDescent="0.25">
      <c r="A274">
        <v>13464374</v>
      </c>
      <c r="B274" t="s">
        <v>221</v>
      </c>
      <c r="C274" t="s">
        <v>252</v>
      </c>
      <c r="D274" t="s">
        <v>10</v>
      </c>
      <c r="E274" t="s">
        <v>93</v>
      </c>
      <c r="F274" t="s">
        <v>226</v>
      </c>
      <c r="G274" t="s">
        <v>26</v>
      </c>
      <c r="H274">
        <v>2017</v>
      </c>
      <c r="I274">
        <v>7</v>
      </c>
      <c r="J274" s="2" t="s">
        <v>222</v>
      </c>
    </row>
    <row r="275" spans="1:10" x14ac:dyDescent="0.25">
      <c r="A275">
        <v>13464374</v>
      </c>
      <c r="B275" t="s">
        <v>221</v>
      </c>
      <c r="C275" t="s">
        <v>252</v>
      </c>
      <c r="D275" t="s">
        <v>10</v>
      </c>
      <c r="E275" t="s">
        <v>41</v>
      </c>
      <c r="F275" t="s">
        <v>228</v>
      </c>
      <c r="G275" t="s">
        <v>13</v>
      </c>
      <c r="H275">
        <v>2017</v>
      </c>
      <c r="I275">
        <v>3</v>
      </c>
      <c r="J275" s="2" t="s">
        <v>222</v>
      </c>
    </row>
    <row r="276" spans="1:10" x14ac:dyDescent="0.25">
      <c r="A276">
        <v>13464374</v>
      </c>
      <c r="B276" t="s">
        <v>221</v>
      </c>
      <c r="C276" t="s">
        <v>252</v>
      </c>
      <c r="D276" t="s">
        <v>10</v>
      </c>
      <c r="E276" t="s">
        <v>41</v>
      </c>
      <c r="F276" t="s">
        <v>228</v>
      </c>
      <c r="G276" t="s">
        <v>16</v>
      </c>
      <c r="H276">
        <v>2017</v>
      </c>
      <c r="I276">
        <v>9</v>
      </c>
      <c r="J276" s="2" t="s">
        <v>222</v>
      </c>
    </row>
    <row r="277" spans="1:10" x14ac:dyDescent="0.25">
      <c r="A277">
        <v>13464374</v>
      </c>
      <c r="B277" t="s">
        <v>221</v>
      </c>
      <c r="C277" t="s">
        <v>252</v>
      </c>
      <c r="D277" t="s">
        <v>10</v>
      </c>
      <c r="E277" t="s">
        <v>41</v>
      </c>
      <c r="F277" t="s">
        <v>228</v>
      </c>
      <c r="G277" t="s">
        <v>26</v>
      </c>
      <c r="H277">
        <v>2017</v>
      </c>
      <c r="I277">
        <v>3</v>
      </c>
      <c r="J277" s="2" t="s">
        <v>222</v>
      </c>
    </row>
    <row r="278" spans="1:10" x14ac:dyDescent="0.25">
      <c r="A278">
        <v>1185575</v>
      </c>
      <c r="B278" t="s">
        <v>58</v>
      </c>
      <c r="C278" t="s">
        <v>254</v>
      </c>
      <c r="D278" t="s">
        <v>10</v>
      </c>
      <c r="E278" t="s">
        <v>24</v>
      </c>
      <c r="F278" t="s">
        <v>25</v>
      </c>
      <c r="G278" t="s">
        <v>13</v>
      </c>
      <c r="H278">
        <v>1915</v>
      </c>
      <c r="I278">
        <v>1</v>
      </c>
      <c r="J278" s="2" t="s">
        <v>59</v>
      </c>
    </row>
    <row r="279" spans="1:10" x14ac:dyDescent="0.25">
      <c r="A279">
        <v>1185575</v>
      </c>
      <c r="B279" t="s">
        <v>58</v>
      </c>
      <c r="C279" t="s">
        <v>254</v>
      </c>
      <c r="D279" t="s">
        <v>10</v>
      </c>
      <c r="E279" t="s">
        <v>49</v>
      </c>
      <c r="F279" t="s">
        <v>50</v>
      </c>
      <c r="G279" t="s">
        <v>13</v>
      </c>
      <c r="H279">
        <v>1915</v>
      </c>
      <c r="I279">
        <v>1</v>
      </c>
      <c r="J279" s="2" t="s">
        <v>59</v>
      </c>
    </row>
    <row r="280" spans="1:10" x14ac:dyDescent="0.25">
      <c r="A280">
        <v>1344678</v>
      </c>
      <c r="B280" t="s">
        <v>60</v>
      </c>
      <c r="C280" t="s">
        <v>101</v>
      </c>
      <c r="D280" t="s">
        <v>10</v>
      </c>
      <c r="E280" t="s">
        <v>24</v>
      </c>
      <c r="F280" t="s">
        <v>24</v>
      </c>
      <c r="G280" t="s">
        <v>13</v>
      </c>
      <c r="H280">
        <v>1915</v>
      </c>
      <c r="I280">
        <v>2</v>
      </c>
      <c r="J280" s="2" t="s">
        <v>59</v>
      </c>
    </row>
    <row r="281" spans="1:10" x14ac:dyDescent="0.25">
      <c r="A281">
        <v>1344678</v>
      </c>
      <c r="B281" t="s">
        <v>60</v>
      </c>
      <c r="C281" t="s">
        <v>101</v>
      </c>
      <c r="D281" t="s">
        <v>10</v>
      </c>
      <c r="E281" t="s">
        <v>49</v>
      </c>
      <c r="F281" t="s">
        <v>50</v>
      </c>
      <c r="G281" t="s">
        <v>13</v>
      </c>
      <c r="H281">
        <v>1915</v>
      </c>
      <c r="I281">
        <v>2</v>
      </c>
      <c r="J281" s="2" t="s">
        <v>59</v>
      </c>
    </row>
    <row r="282" spans="1:10" x14ac:dyDescent="0.25">
      <c r="A282">
        <v>7646799</v>
      </c>
      <c r="B282" t="s">
        <v>146</v>
      </c>
      <c r="C282" t="s">
        <v>253</v>
      </c>
      <c r="D282" t="s">
        <v>10</v>
      </c>
      <c r="E282" t="s">
        <v>24</v>
      </c>
      <c r="F282" t="s">
        <v>24</v>
      </c>
      <c r="G282" t="s">
        <v>61</v>
      </c>
      <c r="H282">
        <v>1915</v>
      </c>
      <c r="I282">
        <v>1</v>
      </c>
      <c r="J282" s="2" t="s">
        <v>59</v>
      </c>
    </row>
    <row r="283" spans="1:10" x14ac:dyDescent="0.25">
      <c r="A283">
        <v>7733020</v>
      </c>
      <c r="B283" t="s">
        <v>159</v>
      </c>
      <c r="C283" t="s">
        <v>259</v>
      </c>
      <c r="D283" t="s">
        <v>10</v>
      </c>
      <c r="E283" t="s">
        <v>24</v>
      </c>
      <c r="F283" t="s">
        <v>24</v>
      </c>
      <c r="G283" t="s">
        <v>61</v>
      </c>
      <c r="H283">
        <v>1915</v>
      </c>
      <c r="I283">
        <v>1</v>
      </c>
      <c r="J283" s="2" t="s">
        <v>59</v>
      </c>
    </row>
    <row r="284" spans="1:10" x14ac:dyDescent="0.25">
      <c r="A284">
        <v>7758987</v>
      </c>
      <c r="B284" t="s">
        <v>163</v>
      </c>
      <c r="C284" t="s">
        <v>101</v>
      </c>
      <c r="D284" t="s">
        <v>10</v>
      </c>
      <c r="E284" t="s">
        <v>24</v>
      </c>
      <c r="F284" t="s">
        <v>24</v>
      </c>
      <c r="G284" t="s">
        <v>61</v>
      </c>
      <c r="H284">
        <v>1915</v>
      </c>
      <c r="I284">
        <v>1</v>
      </c>
      <c r="J284" s="2" t="s">
        <v>59</v>
      </c>
    </row>
    <row r="285" spans="1:10" x14ac:dyDescent="0.25">
      <c r="A285">
        <v>7758987</v>
      </c>
      <c r="B285" t="s">
        <v>163</v>
      </c>
      <c r="C285" t="s">
        <v>101</v>
      </c>
      <c r="D285" t="s">
        <v>10</v>
      </c>
      <c r="E285" t="s">
        <v>24</v>
      </c>
      <c r="F285" t="s">
        <v>24</v>
      </c>
      <c r="G285" t="s">
        <v>13</v>
      </c>
      <c r="H285">
        <v>1915</v>
      </c>
      <c r="I285">
        <v>1</v>
      </c>
      <c r="J285" s="2" t="s">
        <v>59</v>
      </c>
    </row>
    <row r="286" spans="1:10" x14ac:dyDescent="0.25">
      <c r="A286">
        <v>7758987</v>
      </c>
      <c r="B286" t="s">
        <v>163</v>
      </c>
      <c r="C286" t="s">
        <v>101</v>
      </c>
      <c r="D286" t="s">
        <v>10</v>
      </c>
      <c r="E286" t="s">
        <v>49</v>
      </c>
      <c r="F286" t="s">
        <v>50</v>
      </c>
      <c r="G286" t="s">
        <v>13</v>
      </c>
      <c r="H286">
        <v>1915</v>
      </c>
      <c r="I286">
        <v>1</v>
      </c>
      <c r="J286" s="2" t="s">
        <v>59</v>
      </c>
    </row>
    <row r="287" spans="1:10" x14ac:dyDescent="0.25">
      <c r="A287">
        <v>7778509</v>
      </c>
      <c r="B287" t="s">
        <v>166</v>
      </c>
      <c r="C287" t="s">
        <v>92</v>
      </c>
      <c r="D287" t="s">
        <v>10</v>
      </c>
      <c r="E287" t="s">
        <v>24</v>
      </c>
      <c r="F287" t="s">
        <v>25</v>
      </c>
      <c r="G287" t="s">
        <v>13</v>
      </c>
      <c r="H287">
        <v>1915</v>
      </c>
      <c r="I287">
        <v>1</v>
      </c>
      <c r="J287" s="2" t="s">
        <v>59</v>
      </c>
    </row>
    <row r="288" spans="1:10" x14ac:dyDescent="0.25">
      <c r="A288">
        <v>7778509</v>
      </c>
      <c r="B288" t="s">
        <v>166</v>
      </c>
      <c r="C288" t="s">
        <v>92</v>
      </c>
      <c r="D288" t="s">
        <v>10</v>
      </c>
      <c r="E288" t="s">
        <v>49</v>
      </c>
      <c r="F288" t="s">
        <v>50</v>
      </c>
      <c r="G288" t="s">
        <v>13</v>
      </c>
      <c r="H288">
        <v>1915</v>
      </c>
      <c r="I288">
        <v>1</v>
      </c>
      <c r="J288" s="2" t="s">
        <v>59</v>
      </c>
    </row>
    <row r="289" spans="1:10" x14ac:dyDescent="0.25">
      <c r="A289">
        <v>10043013</v>
      </c>
      <c r="B289" t="s">
        <v>200</v>
      </c>
      <c r="C289" t="s">
        <v>251</v>
      </c>
      <c r="D289" t="s">
        <v>10</v>
      </c>
      <c r="E289" t="s">
        <v>24</v>
      </c>
      <c r="F289" t="s">
        <v>24</v>
      </c>
      <c r="G289" t="s">
        <v>13</v>
      </c>
      <c r="H289">
        <v>1915</v>
      </c>
      <c r="I289">
        <v>1</v>
      </c>
      <c r="J289" s="2" t="s">
        <v>59</v>
      </c>
    </row>
    <row r="290" spans="1:10" x14ac:dyDescent="0.25">
      <c r="A290">
        <v>10099748</v>
      </c>
      <c r="B290" t="s">
        <v>202</v>
      </c>
      <c r="C290" t="s">
        <v>68</v>
      </c>
      <c r="D290" t="s">
        <v>10</v>
      </c>
      <c r="E290" t="s">
        <v>24</v>
      </c>
      <c r="F290" t="s">
        <v>24</v>
      </c>
      <c r="G290" t="s">
        <v>61</v>
      </c>
      <c r="H290">
        <v>1915</v>
      </c>
      <c r="I290">
        <v>1</v>
      </c>
      <c r="J290" s="2" t="s">
        <v>59</v>
      </c>
    </row>
    <row r="291" spans="1:10" x14ac:dyDescent="0.25">
      <c r="A291">
        <v>10325947</v>
      </c>
      <c r="B291" t="s">
        <v>220</v>
      </c>
      <c r="C291" t="s">
        <v>82</v>
      </c>
      <c r="D291" t="s">
        <v>10</v>
      </c>
      <c r="E291" t="s">
        <v>24</v>
      </c>
      <c r="F291" t="s">
        <v>24</v>
      </c>
      <c r="G291" t="s">
        <v>61</v>
      </c>
      <c r="H291">
        <v>1915</v>
      </c>
      <c r="I291">
        <v>1</v>
      </c>
      <c r="J291" s="2" t="s">
        <v>59</v>
      </c>
    </row>
    <row r="292" spans="1:10" x14ac:dyDescent="0.25">
      <c r="A292">
        <v>37211055</v>
      </c>
      <c r="B292" t="s">
        <v>248</v>
      </c>
      <c r="C292" t="s">
        <v>256</v>
      </c>
      <c r="D292" t="s">
        <v>10</v>
      </c>
      <c r="E292" t="s">
        <v>24</v>
      </c>
      <c r="F292" t="s">
        <v>25</v>
      </c>
      <c r="G292" t="s">
        <v>13</v>
      </c>
      <c r="H292">
        <v>1915</v>
      </c>
      <c r="I292">
        <v>1</v>
      </c>
      <c r="J292" s="2" t="s">
        <v>59</v>
      </c>
    </row>
    <row r="293" spans="1:10" x14ac:dyDescent="0.25">
      <c r="A293">
        <v>37211055</v>
      </c>
      <c r="B293" t="s">
        <v>248</v>
      </c>
      <c r="C293" t="s">
        <v>256</v>
      </c>
      <c r="D293" t="s">
        <v>10</v>
      </c>
      <c r="E293" t="s">
        <v>24</v>
      </c>
      <c r="F293" t="s">
        <v>24</v>
      </c>
      <c r="G293" t="s">
        <v>61</v>
      </c>
      <c r="H293">
        <v>1915</v>
      </c>
      <c r="I293">
        <v>1</v>
      </c>
      <c r="J293" s="2" t="s">
        <v>59</v>
      </c>
    </row>
    <row r="294" spans="1:10" x14ac:dyDescent="0.25">
      <c r="A294">
        <v>37211055</v>
      </c>
      <c r="B294" t="s">
        <v>248</v>
      </c>
      <c r="C294" t="s">
        <v>256</v>
      </c>
      <c r="D294" t="s">
        <v>10</v>
      </c>
      <c r="E294" t="s">
        <v>49</v>
      </c>
      <c r="F294" t="s">
        <v>50</v>
      </c>
      <c r="G294" t="s">
        <v>13</v>
      </c>
      <c r="H294">
        <v>1915</v>
      </c>
      <c r="I294">
        <v>1</v>
      </c>
      <c r="J294" s="2" t="s">
        <v>59</v>
      </c>
    </row>
    <row r="295" spans="1:10" x14ac:dyDescent="0.25">
      <c r="A295">
        <v>7487947</v>
      </c>
      <c r="B295" t="s">
        <v>117</v>
      </c>
      <c r="C295" t="s">
        <v>76</v>
      </c>
      <c r="D295" t="s">
        <v>10</v>
      </c>
      <c r="E295" t="s">
        <v>24</v>
      </c>
      <c r="F295" t="s">
        <v>24</v>
      </c>
      <c r="G295" t="s">
        <v>13</v>
      </c>
      <c r="H295">
        <v>1985</v>
      </c>
      <c r="I295">
        <v>1</v>
      </c>
      <c r="J295" s="2" t="s">
        <v>121</v>
      </c>
    </row>
    <row r="296" spans="1:10" x14ac:dyDescent="0.25">
      <c r="A296">
        <v>7487947</v>
      </c>
      <c r="B296" t="s">
        <v>117</v>
      </c>
      <c r="C296" t="s">
        <v>76</v>
      </c>
      <c r="D296" t="s">
        <v>10</v>
      </c>
      <c r="E296" t="s">
        <v>128</v>
      </c>
      <c r="F296" t="s">
        <v>129</v>
      </c>
      <c r="G296" t="s">
        <v>13</v>
      </c>
      <c r="H296">
        <v>1985</v>
      </c>
      <c r="I296">
        <v>1</v>
      </c>
      <c r="J296" s="2" t="s">
        <v>121</v>
      </c>
    </row>
    <row r="297" spans="1:10" x14ac:dyDescent="0.25">
      <c r="A297">
        <v>10099748</v>
      </c>
      <c r="B297" t="s">
        <v>202</v>
      </c>
      <c r="C297" t="s">
        <v>68</v>
      </c>
      <c r="D297" t="s">
        <v>10</v>
      </c>
      <c r="E297" t="s">
        <v>128</v>
      </c>
      <c r="F297" t="s">
        <v>129</v>
      </c>
      <c r="G297" t="s">
        <v>13</v>
      </c>
      <c r="H297">
        <v>1985</v>
      </c>
      <c r="I297">
        <v>1</v>
      </c>
      <c r="J297" s="2" t="s">
        <v>121</v>
      </c>
    </row>
    <row r="298" spans="1:10" x14ac:dyDescent="0.25">
      <c r="A298">
        <v>22967926</v>
      </c>
      <c r="B298" t="s">
        <v>229</v>
      </c>
      <c r="C298" t="s">
        <v>76</v>
      </c>
      <c r="D298" t="s">
        <v>10</v>
      </c>
      <c r="E298" t="s">
        <v>24</v>
      </c>
      <c r="F298" t="s">
        <v>24</v>
      </c>
      <c r="G298" t="s">
        <v>29</v>
      </c>
      <c r="H298">
        <v>1985</v>
      </c>
      <c r="I298">
        <v>1</v>
      </c>
      <c r="J298" s="2" t="s">
        <v>121</v>
      </c>
    </row>
    <row r="299" spans="1:10" x14ac:dyDescent="0.25">
      <c r="A299">
        <v>22967926</v>
      </c>
      <c r="B299" t="s">
        <v>229</v>
      </c>
      <c r="C299" t="s">
        <v>76</v>
      </c>
      <c r="D299" t="s">
        <v>10</v>
      </c>
      <c r="E299" t="s">
        <v>128</v>
      </c>
      <c r="F299" t="s">
        <v>129</v>
      </c>
      <c r="G299" t="s">
        <v>13</v>
      </c>
      <c r="H299">
        <v>1985</v>
      </c>
      <c r="I299">
        <v>1</v>
      </c>
      <c r="J299" s="2" t="s">
        <v>235</v>
      </c>
    </row>
    <row r="300" spans="1:10" x14ac:dyDescent="0.25">
      <c r="A300">
        <v>10108642</v>
      </c>
      <c r="B300" t="s">
        <v>204</v>
      </c>
      <c r="C300" t="s">
        <v>82</v>
      </c>
      <c r="D300" t="s">
        <v>10</v>
      </c>
      <c r="E300" t="s">
        <v>24</v>
      </c>
      <c r="F300" t="s">
        <v>24</v>
      </c>
      <c r="G300" t="s">
        <v>32</v>
      </c>
      <c r="H300">
        <v>1989</v>
      </c>
      <c r="I300">
        <v>13</v>
      </c>
      <c r="J300" s="2" t="s">
        <v>208</v>
      </c>
    </row>
    <row r="301" spans="1:10" x14ac:dyDescent="0.25">
      <c r="A301">
        <v>7440439</v>
      </c>
      <c r="B301" t="s">
        <v>82</v>
      </c>
      <c r="C301" t="s">
        <v>82</v>
      </c>
      <c r="D301" t="s">
        <v>10</v>
      </c>
      <c r="E301" t="s">
        <v>84</v>
      </c>
      <c r="F301" t="s">
        <v>85</v>
      </c>
      <c r="G301" t="s">
        <v>13</v>
      </c>
      <c r="H301">
        <v>2000</v>
      </c>
      <c r="I301">
        <v>1</v>
      </c>
      <c r="J301" s="2" t="s">
        <v>86</v>
      </c>
    </row>
    <row r="302" spans="1:10" x14ac:dyDescent="0.25">
      <c r="A302">
        <v>10108642</v>
      </c>
      <c r="B302" t="s">
        <v>204</v>
      </c>
      <c r="C302" t="s">
        <v>82</v>
      </c>
      <c r="D302" t="s">
        <v>10</v>
      </c>
      <c r="E302" t="s">
        <v>24</v>
      </c>
      <c r="F302" t="s">
        <v>24</v>
      </c>
      <c r="G302" t="s">
        <v>32</v>
      </c>
      <c r="H302">
        <v>1975</v>
      </c>
      <c r="I302">
        <v>60</v>
      </c>
      <c r="J302" s="2" t="s">
        <v>209</v>
      </c>
    </row>
    <row r="303" spans="1:10" x14ac:dyDescent="0.25">
      <c r="A303">
        <v>10108642</v>
      </c>
      <c r="B303" t="s">
        <v>204</v>
      </c>
      <c r="C303" t="s">
        <v>82</v>
      </c>
      <c r="D303" t="s">
        <v>10</v>
      </c>
      <c r="E303" t="s">
        <v>24</v>
      </c>
      <c r="F303" t="s">
        <v>24</v>
      </c>
      <c r="G303" t="s">
        <v>32</v>
      </c>
      <c r="H303">
        <v>1975</v>
      </c>
      <c r="I303">
        <v>3</v>
      </c>
      <c r="J303" s="2" t="s">
        <v>210</v>
      </c>
    </row>
    <row r="304" spans="1:10" x14ac:dyDescent="0.25">
      <c r="A304">
        <v>22967926</v>
      </c>
      <c r="B304" t="s">
        <v>229</v>
      </c>
      <c r="C304" t="s">
        <v>76</v>
      </c>
      <c r="D304" t="s">
        <v>10</v>
      </c>
      <c r="E304" t="s">
        <v>33</v>
      </c>
      <c r="F304" t="s">
        <v>39</v>
      </c>
      <c r="G304" t="s">
        <v>13</v>
      </c>
      <c r="H304">
        <v>1982</v>
      </c>
      <c r="I304">
        <v>1</v>
      </c>
      <c r="J304" s="2" t="s">
        <v>238</v>
      </c>
    </row>
    <row r="305" spans="1:10" x14ac:dyDescent="0.25">
      <c r="A305">
        <v>7487947</v>
      </c>
      <c r="B305" t="s">
        <v>117</v>
      </c>
      <c r="C305" t="s">
        <v>76</v>
      </c>
      <c r="D305" t="s">
        <v>10</v>
      </c>
      <c r="E305" t="s">
        <v>41</v>
      </c>
      <c r="F305" t="s">
        <v>42</v>
      </c>
      <c r="G305" t="s">
        <v>13</v>
      </c>
      <c r="H305">
        <v>1990</v>
      </c>
      <c r="I305">
        <v>3</v>
      </c>
      <c r="J305" s="2" t="s">
        <v>131</v>
      </c>
    </row>
    <row r="306" spans="1:10" x14ac:dyDescent="0.25">
      <c r="A306">
        <v>22967926</v>
      </c>
      <c r="B306" t="s">
        <v>229</v>
      </c>
      <c r="C306" t="s">
        <v>76</v>
      </c>
      <c r="D306" t="s">
        <v>10</v>
      </c>
      <c r="E306" t="s">
        <v>41</v>
      </c>
      <c r="F306" t="s">
        <v>42</v>
      </c>
      <c r="G306" t="s">
        <v>13</v>
      </c>
      <c r="H306">
        <v>1990</v>
      </c>
      <c r="I306">
        <v>3</v>
      </c>
      <c r="J306" s="2" t="s">
        <v>131</v>
      </c>
    </row>
    <row r="307" spans="1:10" x14ac:dyDescent="0.25">
      <c r="A307">
        <v>7487947</v>
      </c>
      <c r="B307" t="s">
        <v>117</v>
      </c>
      <c r="C307" t="s">
        <v>76</v>
      </c>
      <c r="D307" t="s">
        <v>10</v>
      </c>
      <c r="E307" t="s">
        <v>24</v>
      </c>
      <c r="F307" t="s">
        <v>24</v>
      </c>
      <c r="G307" t="s">
        <v>61</v>
      </c>
      <c r="H307">
        <v>1977</v>
      </c>
      <c r="I307">
        <v>1</v>
      </c>
      <c r="J307" s="2" t="s">
        <v>120</v>
      </c>
    </row>
    <row r="308" spans="1:10" x14ac:dyDescent="0.25">
      <c r="A308">
        <v>7487947</v>
      </c>
      <c r="B308" t="s">
        <v>117</v>
      </c>
      <c r="C308" t="s">
        <v>76</v>
      </c>
      <c r="D308" t="s">
        <v>10</v>
      </c>
      <c r="E308" t="s">
        <v>66</v>
      </c>
      <c r="F308" t="s">
        <v>132</v>
      </c>
      <c r="G308" t="s">
        <v>13</v>
      </c>
      <c r="H308">
        <v>1977</v>
      </c>
      <c r="I308">
        <v>1</v>
      </c>
      <c r="J308" s="2" t="s">
        <v>120</v>
      </c>
    </row>
    <row r="309" spans="1:10" x14ac:dyDescent="0.25">
      <c r="A309">
        <v>10099748</v>
      </c>
      <c r="B309" t="s">
        <v>202</v>
      </c>
      <c r="C309" t="s">
        <v>68</v>
      </c>
      <c r="D309" t="s">
        <v>10</v>
      </c>
      <c r="E309" t="s">
        <v>66</v>
      </c>
      <c r="F309" t="s">
        <v>132</v>
      </c>
      <c r="G309" t="s">
        <v>13</v>
      </c>
      <c r="H309">
        <v>1977</v>
      </c>
      <c r="I309">
        <v>1</v>
      </c>
      <c r="J309" s="2" t="s">
        <v>120</v>
      </c>
    </row>
    <row r="310" spans="1:10" x14ac:dyDescent="0.25">
      <c r="A310">
        <v>10108642</v>
      </c>
      <c r="B310" t="s">
        <v>204</v>
      </c>
      <c r="C310" t="s">
        <v>82</v>
      </c>
      <c r="D310" t="s">
        <v>10</v>
      </c>
      <c r="E310" t="s">
        <v>66</v>
      </c>
      <c r="F310" t="s">
        <v>132</v>
      </c>
      <c r="G310" t="s">
        <v>13</v>
      </c>
      <c r="H310">
        <v>1977</v>
      </c>
      <c r="I310">
        <v>1</v>
      </c>
      <c r="J310" s="2" t="s">
        <v>120</v>
      </c>
    </row>
    <row r="311" spans="1:10" x14ac:dyDescent="0.25">
      <c r="A311">
        <v>22967926</v>
      </c>
      <c r="B311" t="s">
        <v>229</v>
      </c>
      <c r="C311" t="s">
        <v>76</v>
      </c>
      <c r="D311" t="s">
        <v>10</v>
      </c>
      <c r="E311" t="s">
        <v>24</v>
      </c>
      <c r="F311" t="s">
        <v>24</v>
      </c>
      <c r="G311" t="s">
        <v>29</v>
      </c>
      <c r="H311">
        <v>1984</v>
      </c>
      <c r="I311">
        <v>2</v>
      </c>
      <c r="J311" s="2" t="s">
        <v>233</v>
      </c>
    </row>
    <row r="312" spans="1:10" x14ac:dyDescent="0.25">
      <c r="A312">
        <v>115093</v>
      </c>
      <c r="B312" t="s">
        <v>9</v>
      </c>
      <c r="C312" t="s">
        <v>76</v>
      </c>
      <c r="D312" t="s">
        <v>10</v>
      </c>
      <c r="E312" t="s">
        <v>33</v>
      </c>
      <c r="F312" t="s">
        <v>37</v>
      </c>
      <c r="G312" t="s">
        <v>13</v>
      </c>
      <c r="H312">
        <v>1995</v>
      </c>
      <c r="I312">
        <v>1</v>
      </c>
      <c r="J312" s="2" t="s">
        <v>38</v>
      </c>
    </row>
    <row r="313" spans="1:10" x14ac:dyDescent="0.25">
      <c r="A313">
        <v>115093</v>
      </c>
      <c r="B313" t="s">
        <v>9</v>
      </c>
      <c r="C313" t="s">
        <v>76</v>
      </c>
      <c r="D313" t="s">
        <v>10</v>
      </c>
      <c r="E313" t="s">
        <v>41</v>
      </c>
      <c r="F313" t="s">
        <v>42</v>
      </c>
      <c r="G313" t="s">
        <v>13</v>
      </c>
      <c r="H313">
        <v>1995</v>
      </c>
      <c r="I313">
        <v>1</v>
      </c>
      <c r="J313" s="2" t="s">
        <v>38</v>
      </c>
    </row>
    <row r="314" spans="1:10" x14ac:dyDescent="0.25">
      <c r="A314">
        <v>22967926</v>
      </c>
      <c r="B314" t="s">
        <v>229</v>
      </c>
      <c r="C314" t="s">
        <v>76</v>
      </c>
      <c r="D314" t="s">
        <v>10</v>
      </c>
      <c r="E314" t="s">
        <v>24</v>
      </c>
      <c r="F314" t="s">
        <v>24</v>
      </c>
      <c r="G314" t="s">
        <v>13</v>
      </c>
      <c r="H314">
        <v>1987</v>
      </c>
      <c r="I314">
        <v>1</v>
      </c>
      <c r="J314" s="2" t="s">
        <v>231</v>
      </c>
    </row>
    <row r="315" spans="1:10" x14ac:dyDescent="0.25">
      <c r="A315">
        <v>22967926</v>
      </c>
      <c r="B315" t="s">
        <v>229</v>
      </c>
      <c r="C315" t="s">
        <v>76</v>
      </c>
      <c r="D315" t="s">
        <v>10</v>
      </c>
      <c r="E315" t="s">
        <v>24</v>
      </c>
      <c r="F315" t="s">
        <v>24</v>
      </c>
      <c r="G315" t="s">
        <v>29</v>
      </c>
      <c r="H315">
        <v>1987</v>
      </c>
      <c r="I315">
        <v>2</v>
      </c>
      <c r="J315" s="2" t="s">
        <v>231</v>
      </c>
    </row>
    <row r="316" spans="1:10" x14ac:dyDescent="0.25">
      <c r="A316">
        <v>22967926</v>
      </c>
      <c r="B316" t="s">
        <v>229</v>
      </c>
      <c r="C316" t="s">
        <v>76</v>
      </c>
      <c r="D316" t="s">
        <v>10</v>
      </c>
      <c r="E316" t="s">
        <v>33</v>
      </c>
      <c r="F316" t="s">
        <v>35</v>
      </c>
      <c r="G316" t="s">
        <v>13</v>
      </c>
      <c r="H316">
        <v>1987</v>
      </c>
      <c r="I316">
        <v>2</v>
      </c>
      <c r="J316" s="2" t="s">
        <v>231</v>
      </c>
    </row>
    <row r="317" spans="1:10" x14ac:dyDescent="0.25">
      <c r="A317">
        <v>115093</v>
      </c>
      <c r="B317" t="s">
        <v>9</v>
      </c>
      <c r="C317" t="s">
        <v>76</v>
      </c>
      <c r="D317" t="s">
        <v>10</v>
      </c>
      <c r="E317" t="s">
        <v>33</v>
      </c>
      <c r="F317" t="s">
        <v>39</v>
      </c>
      <c r="G317" t="s">
        <v>13</v>
      </c>
      <c r="H317">
        <v>1981</v>
      </c>
      <c r="I317">
        <v>1</v>
      </c>
      <c r="J317" s="2" t="s">
        <v>40</v>
      </c>
    </row>
    <row r="318" spans="1:10" x14ac:dyDescent="0.25">
      <c r="A318">
        <v>7646857</v>
      </c>
      <c r="B318" t="s">
        <v>147</v>
      </c>
      <c r="C318" t="s">
        <v>259</v>
      </c>
      <c r="D318" t="s">
        <v>10</v>
      </c>
      <c r="E318" t="s">
        <v>33</v>
      </c>
      <c r="F318" t="s">
        <v>39</v>
      </c>
      <c r="G318" t="s">
        <v>13</v>
      </c>
      <c r="H318">
        <v>1981</v>
      </c>
      <c r="I318">
        <v>1</v>
      </c>
      <c r="J318" s="2" t="s">
        <v>40</v>
      </c>
    </row>
    <row r="319" spans="1:10" x14ac:dyDescent="0.25">
      <c r="A319">
        <v>10108642</v>
      </c>
      <c r="B319" t="s">
        <v>204</v>
      </c>
      <c r="C319" t="s">
        <v>82</v>
      </c>
      <c r="D319" t="s">
        <v>10</v>
      </c>
      <c r="E319" t="s">
        <v>33</v>
      </c>
      <c r="F319" t="s">
        <v>39</v>
      </c>
      <c r="G319" t="s">
        <v>13</v>
      </c>
      <c r="H319">
        <v>1981</v>
      </c>
      <c r="I319">
        <v>1</v>
      </c>
      <c r="J319" s="2" t="s">
        <v>40</v>
      </c>
    </row>
    <row r="320" spans="1:10" x14ac:dyDescent="0.25">
      <c r="A320">
        <v>22967926</v>
      </c>
      <c r="B320" t="s">
        <v>229</v>
      </c>
      <c r="C320" t="s">
        <v>76</v>
      </c>
      <c r="D320" t="s">
        <v>10</v>
      </c>
      <c r="E320" t="s">
        <v>66</v>
      </c>
      <c r="F320" t="s">
        <v>241</v>
      </c>
      <c r="G320" t="s">
        <v>13</v>
      </c>
      <c r="H320">
        <v>1981</v>
      </c>
      <c r="I320">
        <v>1</v>
      </c>
      <c r="J320" s="2" t="s">
        <v>242</v>
      </c>
    </row>
    <row r="321" spans="1:10" x14ac:dyDescent="0.25">
      <c r="A321">
        <v>22967926</v>
      </c>
      <c r="B321" t="s">
        <v>229</v>
      </c>
      <c r="C321" t="s">
        <v>76</v>
      </c>
      <c r="D321" t="s">
        <v>10</v>
      </c>
      <c r="E321" t="s">
        <v>24</v>
      </c>
      <c r="F321" t="s">
        <v>24</v>
      </c>
      <c r="G321" t="s">
        <v>29</v>
      </c>
      <c r="H321">
        <v>1985</v>
      </c>
      <c r="I321">
        <v>1</v>
      </c>
      <c r="J321" s="2" t="s">
        <v>232</v>
      </c>
    </row>
    <row r="322" spans="1:10" x14ac:dyDescent="0.25">
      <c r="A322">
        <v>22967926</v>
      </c>
      <c r="B322" t="s">
        <v>229</v>
      </c>
      <c r="C322" t="s">
        <v>76</v>
      </c>
      <c r="D322" t="s">
        <v>10</v>
      </c>
      <c r="E322" t="s">
        <v>33</v>
      </c>
      <c r="F322" t="s">
        <v>35</v>
      </c>
      <c r="G322" t="s">
        <v>13</v>
      </c>
      <c r="H322">
        <v>1985</v>
      </c>
      <c r="I322">
        <v>1</v>
      </c>
      <c r="J322" s="2" t="s">
        <v>232</v>
      </c>
    </row>
    <row r="323" spans="1:10" x14ac:dyDescent="0.25">
      <c r="A323">
        <v>22967926</v>
      </c>
      <c r="B323" t="s">
        <v>229</v>
      </c>
      <c r="C323" t="s">
        <v>76</v>
      </c>
      <c r="D323" t="s">
        <v>10</v>
      </c>
      <c r="E323" t="s">
        <v>33</v>
      </c>
      <c r="F323" t="s">
        <v>39</v>
      </c>
      <c r="G323" t="s">
        <v>13</v>
      </c>
      <c r="H323">
        <v>1985</v>
      </c>
      <c r="I323">
        <v>1</v>
      </c>
      <c r="J323" s="2" t="s">
        <v>232</v>
      </c>
    </row>
    <row r="324" spans="1:10" x14ac:dyDescent="0.25">
      <c r="A324">
        <v>7439976</v>
      </c>
      <c r="B324" t="s">
        <v>76</v>
      </c>
      <c r="C324" t="s">
        <v>76</v>
      </c>
      <c r="D324" t="s">
        <v>10</v>
      </c>
      <c r="E324" t="s">
        <v>49</v>
      </c>
      <c r="F324" t="s">
        <v>51</v>
      </c>
      <c r="G324" t="s">
        <v>13</v>
      </c>
      <c r="H324">
        <v>1984</v>
      </c>
      <c r="I324">
        <v>1</v>
      </c>
      <c r="J324" s="2" t="s">
        <v>81</v>
      </c>
    </row>
    <row r="325" spans="1:10" x14ac:dyDescent="0.25">
      <c r="A325">
        <v>7440508</v>
      </c>
      <c r="B325" t="s">
        <v>101</v>
      </c>
      <c r="C325" t="s">
        <v>101</v>
      </c>
      <c r="D325" t="s">
        <v>10</v>
      </c>
      <c r="E325" t="s">
        <v>49</v>
      </c>
      <c r="F325" t="s">
        <v>51</v>
      </c>
      <c r="G325" t="s">
        <v>13</v>
      </c>
      <c r="H325">
        <v>1984</v>
      </c>
      <c r="I325">
        <v>1</v>
      </c>
      <c r="J325" s="2" t="s">
        <v>81</v>
      </c>
    </row>
    <row r="326" spans="1:10" x14ac:dyDescent="0.25">
      <c r="A326">
        <v>115093</v>
      </c>
      <c r="B326" t="s">
        <v>9</v>
      </c>
      <c r="C326" t="s">
        <v>76</v>
      </c>
      <c r="D326" t="s">
        <v>10</v>
      </c>
      <c r="E326" t="s">
        <v>24</v>
      </c>
      <c r="F326" t="s">
        <v>24</v>
      </c>
      <c r="G326" t="s">
        <v>13</v>
      </c>
      <c r="H326">
        <v>1977</v>
      </c>
      <c r="I326">
        <v>29</v>
      </c>
      <c r="J326" s="2" t="s">
        <v>28</v>
      </c>
    </row>
    <row r="327" spans="1:10" x14ac:dyDescent="0.25">
      <c r="A327">
        <v>115093</v>
      </c>
      <c r="B327" t="s">
        <v>9</v>
      </c>
      <c r="C327" t="s">
        <v>76</v>
      </c>
      <c r="D327" t="s">
        <v>10</v>
      </c>
      <c r="E327" t="s">
        <v>33</v>
      </c>
      <c r="F327" t="s">
        <v>35</v>
      </c>
      <c r="G327" t="s">
        <v>13</v>
      </c>
      <c r="H327">
        <v>1980</v>
      </c>
      <c r="I327">
        <v>3</v>
      </c>
      <c r="J327" s="2" t="s">
        <v>36</v>
      </c>
    </row>
    <row r="328" spans="1:10" x14ac:dyDescent="0.25">
      <c r="A328">
        <v>7646857</v>
      </c>
      <c r="B328" t="s">
        <v>147</v>
      </c>
      <c r="C328" t="s">
        <v>259</v>
      </c>
      <c r="D328" t="s">
        <v>10</v>
      </c>
      <c r="E328" t="s">
        <v>33</v>
      </c>
      <c r="F328" t="s">
        <v>35</v>
      </c>
      <c r="G328" t="s">
        <v>13</v>
      </c>
      <c r="H328">
        <v>1980</v>
      </c>
      <c r="I328">
        <v>4</v>
      </c>
      <c r="J328" s="2" t="s">
        <v>36</v>
      </c>
    </row>
    <row r="329" spans="1:10" x14ac:dyDescent="0.25">
      <c r="A329">
        <v>10099748</v>
      </c>
      <c r="B329" t="s">
        <v>202</v>
      </c>
      <c r="C329" t="s">
        <v>68</v>
      </c>
      <c r="D329" t="s">
        <v>10</v>
      </c>
      <c r="E329" t="s">
        <v>33</v>
      </c>
      <c r="F329" t="s">
        <v>39</v>
      </c>
      <c r="G329" t="s">
        <v>13</v>
      </c>
      <c r="H329">
        <v>1982</v>
      </c>
      <c r="I329">
        <v>1</v>
      </c>
      <c r="J329" s="2" t="s">
        <v>203</v>
      </c>
    </row>
    <row r="330" spans="1:10" x14ac:dyDescent="0.25">
      <c r="A330">
        <v>115093</v>
      </c>
      <c r="B330" t="s">
        <v>9</v>
      </c>
      <c r="C330" t="s">
        <v>76</v>
      </c>
      <c r="D330" t="s">
        <v>10</v>
      </c>
      <c r="E330" t="s">
        <v>24</v>
      </c>
      <c r="F330" t="s">
        <v>24</v>
      </c>
      <c r="G330" t="s">
        <v>29</v>
      </c>
      <c r="H330">
        <v>1983</v>
      </c>
      <c r="I330">
        <v>1</v>
      </c>
      <c r="J330" s="2" t="s">
        <v>31</v>
      </c>
    </row>
    <row r="331" spans="1:10" x14ac:dyDescent="0.25">
      <c r="A331">
        <v>7487947</v>
      </c>
      <c r="B331" t="s">
        <v>117</v>
      </c>
      <c r="C331" t="s">
        <v>76</v>
      </c>
      <c r="D331" t="s">
        <v>10</v>
      </c>
      <c r="E331" t="s">
        <v>24</v>
      </c>
      <c r="F331" t="s">
        <v>24</v>
      </c>
      <c r="G331" t="s">
        <v>29</v>
      </c>
      <c r="H331">
        <v>1983</v>
      </c>
      <c r="I331">
        <v>1</v>
      </c>
      <c r="J331" s="2" t="s">
        <v>31</v>
      </c>
    </row>
    <row r="332" spans="1:10" x14ac:dyDescent="0.25">
      <c r="A332">
        <v>7440439</v>
      </c>
      <c r="B332" t="s">
        <v>82</v>
      </c>
      <c r="C332" t="s">
        <v>82</v>
      </c>
      <c r="D332" t="s">
        <v>10</v>
      </c>
      <c r="E332" t="s">
        <v>33</v>
      </c>
      <c r="F332" t="s">
        <v>35</v>
      </c>
      <c r="G332" t="s">
        <v>13</v>
      </c>
      <c r="H332">
        <v>1986</v>
      </c>
      <c r="I332">
        <v>3</v>
      </c>
      <c r="J332" s="2" t="s">
        <v>83</v>
      </c>
    </row>
    <row r="333" spans="1:10" x14ac:dyDescent="0.25">
      <c r="A333">
        <v>22967926</v>
      </c>
      <c r="B333" t="s">
        <v>229</v>
      </c>
      <c r="C333" t="s">
        <v>76</v>
      </c>
      <c r="D333" t="s">
        <v>10</v>
      </c>
      <c r="E333" t="s">
        <v>24</v>
      </c>
      <c r="F333" t="s">
        <v>126</v>
      </c>
      <c r="G333" t="s">
        <v>13</v>
      </c>
      <c r="H333">
        <v>1997</v>
      </c>
      <c r="I333">
        <v>2</v>
      </c>
      <c r="J333" s="2" t="s">
        <v>234</v>
      </c>
    </row>
    <row r="334" spans="1:10" x14ac:dyDescent="0.25">
      <c r="A334">
        <v>22967926</v>
      </c>
      <c r="B334" t="s">
        <v>229</v>
      </c>
      <c r="C334" t="s">
        <v>76</v>
      </c>
      <c r="D334" t="s">
        <v>10</v>
      </c>
      <c r="E334" t="s">
        <v>137</v>
      </c>
      <c r="F334" t="s">
        <v>236</v>
      </c>
      <c r="G334" t="s">
        <v>16</v>
      </c>
      <c r="H334">
        <v>1997</v>
      </c>
      <c r="I334">
        <v>4</v>
      </c>
      <c r="J334" s="2" t="s">
        <v>234</v>
      </c>
    </row>
    <row r="335" spans="1:10" x14ac:dyDescent="0.25">
      <c r="A335">
        <v>22967926</v>
      </c>
      <c r="B335" t="s">
        <v>229</v>
      </c>
      <c r="C335" t="s">
        <v>76</v>
      </c>
      <c r="D335" t="s">
        <v>10</v>
      </c>
      <c r="E335" t="s">
        <v>137</v>
      </c>
      <c r="F335" t="s">
        <v>236</v>
      </c>
      <c r="G335" t="s">
        <v>26</v>
      </c>
      <c r="H335">
        <v>1997</v>
      </c>
      <c r="I335">
        <v>2</v>
      </c>
      <c r="J335" s="2" t="s">
        <v>234</v>
      </c>
    </row>
    <row r="336" spans="1:10" x14ac:dyDescent="0.25">
      <c r="A336">
        <v>22967926</v>
      </c>
      <c r="B336" t="s">
        <v>229</v>
      </c>
      <c r="C336" t="s">
        <v>76</v>
      </c>
      <c r="D336" t="s">
        <v>10</v>
      </c>
      <c r="E336" t="s">
        <v>137</v>
      </c>
      <c r="F336" t="s">
        <v>237</v>
      </c>
      <c r="G336" t="s">
        <v>13</v>
      </c>
      <c r="H336">
        <v>1997</v>
      </c>
      <c r="I336">
        <v>3</v>
      </c>
      <c r="J336" s="2" t="s">
        <v>234</v>
      </c>
    </row>
    <row r="337" spans="1:10" x14ac:dyDescent="0.25">
      <c r="A337">
        <v>22967926</v>
      </c>
      <c r="B337" t="s">
        <v>229</v>
      </c>
      <c r="C337" t="s">
        <v>76</v>
      </c>
      <c r="D337" t="s">
        <v>10</v>
      </c>
      <c r="E337" t="s">
        <v>137</v>
      </c>
      <c r="F337" t="s">
        <v>237</v>
      </c>
      <c r="G337" t="s">
        <v>16</v>
      </c>
      <c r="H337">
        <v>1997</v>
      </c>
      <c r="I337">
        <v>2</v>
      </c>
      <c r="J337" s="2" t="s">
        <v>234</v>
      </c>
    </row>
    <row r="338" spans="1:10" x14ac:dyDescent="0.25">
      <c r="A338">
        <v>22967926</v>
      </c>
      <c r="B338" t="s">
        <v>229</v>
      </c>
      <c r="C338" t="s">
        <v>76</v>
      </c>
      <c r="D338" t="s">
        <v>10</v>
      </c>
      <c r="E338" t="s">
        <v>137</v>
      </c>
      <c r="F338" t="s">
        <v>237</v>
      </c>
      <c r="G338" t="s">
        <v>26</v>
      </c>
      <c r="H338">
        <v>1997</v>
      </c>
      <c r="I338">
        <v>1</v>
      </c>
      <c r="J338" s="2" t="s">
        <v>234</v>
      </c>
    </row>
    <row r="339" spans="1:10" x14ac:dyDescent="0.25">
      <c r="A339">
        <v>22967926</v>
      </c>
      <c r="B339" t="s">
        <v>229</v>
      </c>
      <c r="C339" t="s">
        <v>76</v>
      </c>
      <c r="D339" t="s">
        <v>10</v>
      </c>
      <c r="E339" t="s">
        <v>33</v>
      </c>
      <c r="F339" t="s">
        <v>182</v>
      </c>
      <c r="G339" t="s">
        <v>13</v>
      </c>
      <c r="H339">
        <v>1997</v>
      </c>
      <c r="I339">
        <v>2</v>
      </c>
      <c r="J339" s="2" t="s">
        <v>234</v>
      </c>
    </row>
    <row r="340" spans="1:10" x14ac:dyDescent="0.25">
      <c r="A340">
        <v>22967926</v>
      </c>
      <c r="B340" t="s">
        <v>229</v>
      </c>
      <c r="C340" t="s">
        <v>76</v>
      </c>
      <c r="D340" t="s">
        <v>10</v>
      </c>
      <c r="E340" t="s">
        <v>33</v>
      </c>
      <c r="F340" t="s">
        <v>182</v>
      </c>
      <c r="G340" t="s">
        <v>16</v>
      </c>
      <c r="H340">
        <v>1997</v>
      </c>
      <c r="I340">
        <v>26</v>
      </c>
      <c r="J340" s="2" t="s">
        <v>234</v>
      </c>
    </row>
    <row r="341" spans="1:10" x14ac:dyDescent="0.25">
      <c r="A341">
        <v>22967926</v>
      </c>
      <c r="B341" t="s">
        <v>229</v>
      </c>
      <c r="C341" t="s">
        <v>76</v>
      </c>
      <c r="D341" t="s">
        <v>10</v>
      </c>
      <c r="E341" t="s">
        <v>33</v>
      </c>
      <c r="F341" t="s">
        <v>182</v>
      </c>
      <c r="G341" t="s">
        <v>26</v>
      </c>
      <c r="H341">
        <v>1997</v>
      </c>
      <c r="I341">
        <v>9</v>
      </c>
      <c r="J341" s="2" t="s">
        <v>234</v>
      </c>
    </row>
    <row r="342" spans="1:10" x14ac:dyDescent="0.25">
      <c r="A342">
        <v>22967926</v>
      </c>
      <c r="B342" t="s">
        <v>229</v>
      </c>
      <c r="C342" t="s">
        <v>76</v>
      </c>
      <c r="D342" t="s">
        <v>10</v>
      </c>
      <c r="E342" t="s">
        <v>41</v>
      </c>
      <c r="F342" t="s">
        <v>240</v>
      </c>
      <c r="G342" t="s">
        <v>13</v>
      </c>
      <c r="H342">
        <v>1997</v>
      </c>
      <c r="I342">
        <v>10</v>
      </c>
      <c r="J342" s="2" t="s">
        <v>234</v>
      </c>
    </row>
    <row r="343" spans="1:10" x14ac:dyDescent="0.25">
      <c r="A343">
        <v>22967926</v>
      </c>
      <c r="B343" t="s">
        <v>229</v>
      </c>
      <c r="C343" t="s">
        <v>76</v>
      </c>
      <c r="D343" t="s">
        <v>10</v>
      </c>
      <c r="E343" t="s">
        <v>41</v>
      </c>
      <c r="F343" t="s">
        <v>240</v>
      </c>
      <c r="G343" t="s">
        <v>16</v>
      </c>
      <c r="H343">
        <v>1997</v>
      </c>
      <c r="I343">
        <v>48</v>
      </c>
      <c r="J343" s="2" t="s">
        <v>234</v>
      </c>
    </row>
    <row r="344" spans="1:10" x14ac:dyDescent="0.25">
      <c r="A344">
        <v>22967926</v>
      </c>
      <c r="B344" t="s">
        <v>229</v>
      </c>
      <c r="C344" t="s">
        <v>76</v>
      </c>
      <c r="D344" t="s">
        <v>10</v>
      </c>
      <c r="E344" t="s">
        <v>41</v>
      </c>
      <c r="F344" t="s">
        <v>240</v>
      </c>
      <c r="G344" t="s">
        <v>26</v>
      </c>
      <c r="H344">
        <v>1997</v>
      </c>
      <c r="I344">
        <v>7</v>
      </c>
      <c r="J344" s="2" t="s">
        <v>234</v>
      </c>
    </row>
    <row r="345" spans="1:10" x14ac:dyDescent="0.25">
      <c r="A345">
        <v>22967926</v>
      </c>
      <c r="B345" t="s">
        <v>229</v>
      </c>
      <c r="C345" t="s">
        <v>76</v>
      </c>
      <c r="D345" t="s">
        <v>10</v>
      </c>
      <c r="E345" t="s">
        <v>41</v>
      </c>
      <c r="F345" t="s">
        <v>42</v>
      </c>
      <c r="G345" t="s">
        <v>13</v>
      </c>
      <c r="H345">
        <v>1997</v>
      </c>
      <c r="I345">
        <v>4</v>
      </c>
      <c r="J345" s="2" t="s">
        <v>234</v>
      </c>
    </row>
    <row r="346" spans="1:10" x14ac:dyDescent="0.25">
      <c r="A346">
        <v>22967926</v>
      </c>
      <c r="B346" t="s">
        <v>229</v>
      </c>
      <c r="C346" t="s">
        <v>76</v>
      </c>
      <c r="D346" t="s">
        <v>10</v>
      </c>
      <c r="E346" t="s">
        <v>41</v>
      </c>
      <c r="F346" t="s">
        <v>42</v>
      </c>
      <c r="G346" t="s">
        <v>16</v>
      </c>
      <c r="H346">
        <v>1997</v>
      </c>
      <c r="I346">
        <v>25</v>
      </c>
      <c r="J346" s="2" t="s">
        <v>234</v>
      </c>
    </row>
    <row r="347" spans="1:10" x14ac:dyDescent="0.25">
      <c r="A347">
        <v>22967926</v>
      </c>
      <c r="B347" t="s">
        <v>229</v>
      </c>
      <c r="C347" t="s">
        <v>76</v>
      </c>
      <c r="D347" t="s">
        <v>10</v>
      </c>
      <c r="E347" t="s">
        <v>41</v>
      </c>
      <c r="F347" t="s">
        <v>42</v>
      </c>
      <c r="G347" t="s">
        <v>26</v>
      </c>
      <c r="H347">
        <v>1997</v>
      </c>
      <c r="I347">
        <v>2</v>
      </c>
      <c r="J347" s="2" t="s">
        <v>234</v>
      </c>
    </row>
    <row r="348" spans="1:10" x14ac:dyDescent="0.25">
      <c r="A348">
        <v>22967926</v>
      </c>
      <c r="B348" t="s">
        <v>229</v>
      </c>
      <c r="C348" t="s">
        <v>76</v>
      </c>
      <c r="D348" t="s">
        <v>10</v>
      </c>
      <c r="E348" t="s">
        <v>41</v>
      </c>
      <c r="F348" t="s">
        <v>142</v>
      </c>
      <c r="G348" t="s">
        <v>13</v>
      </c>
      <c r="H348">
        <v>1997</v>
      </c>
      <c r="I348">
        <v>1</v>
      </c>
      <c r="J348" s="2" t="s">
        <v>234</v>
      </c>
    </row>
    <row r="349" spans="1:10" x14ac:dyDescent="0.25">
      <c r="A349">
        <v>22967926</v>
      </c>
      <c r="B349" t="s">
        <v>229</v>
      </c>
      <c r="C349" t="s">
        <v>76</v>
      </c>
      <c r="D349" t="s">
        <v>10</v>
      </c>
      <c r="E349" t="s">
        <v>41</v>
      </c>
      <c r="F349" t="s">
        <v>142</v>
      </c>
      <c r="G349" t="s">
        <v>16</v>
      </c>
      <c r="H349">
        <v>1997</v>
      </c>
      <c r="I349">
        <v>27</v>
      </c>
      <c r="J349" s="2" t="s">
        <v>234</v>
      </c>
    </row>
    <row r="350" spans="1:10" x14ac:dyDescent="0.25">
      <c r="A350">
        <v>22967926</v>
      </c>
      <c r="B350" t="s">
        <v>229</v>
      </c>
      <c r="C350" t="s">
        <v>76</v>
      </c>
      <c r="D350" t="s">
        <v>10</v>
      </c>
      <c r="E350" t="s">
        <v>41</v>
      </c>
      <c r="F350" t="s">
        <v>142</v>
      </c>
      <c r="G350" t="s">
        <v>26</v>
      </c>
      <c r="H350">
        <v>1997</v>
      </c>
      <c r="I350">
        <v>7</v>
      </c>
      <c r="J350" s="2" t="s">
        <v>234</v>
      </c>
    </row>
    <row r="351" spans="1:10" x14ac:dyDescent="0.25">
      <c r="A351">
        <v>22967926</v>
      </c>
      <c r="B351" t="s">
        <v>229</v>
      </c>
      <c r="C351" t="s">
        <v>76</v>
      </c>
      <c r="D351" t="s">
        <v>10</v>
      </c>
      <c r="E351" t="s">
        <v>84</v>
      </c>
      <c r="F351" t="s">
        <v>243</v>
      </c>
      <c r="G351" t="s">
        <v>13</v>
      </c>
      <c r="H351">
        <v>1997</v>
      </c>
      <c r="I351">
        <v>3</v>
      </c>
      <c r="J351" s="2" t="s">
        <v>234</v>
      </c>
    </row>
    <row r="352" spans="1:10" x14ac:dyDescent="0.25">
      <c r="A352">
        <v>22967926</v>
      </c>
      <c r="B352" t="s">
        <v>229</v>
      </c>
      <c r="C352" t="s">
        <v>76</v>
      </c>
      <c r="D352" t="s">
        <v>10</v>
      </c>
      <c r="E352" t="s">
        <v>84</v>
      </c>
      <c r="F352" t="s">
        <v>244</v>
      </c>
      <c r="G352" t="s">
        <v>16</v>
      </c>
      <c r="H352">
        <v>1997</v>
      </c>
      <c r="I352">
        <v>2</v>
      </c>
      <c r="J352" s="2" t="s">
        <v>234</v>
      </c>
    </row>
    <row r="353" spans="1:10" x14ac:dyDescent="0.25">
      <c r="A353">
        <v>22967926</v>
      </c>
      <c r="B353" t="s">
        <v>229</v>
      </c>
      <c r="C353" t="s">
        <v>76</v>
      </c>
      <c r="D353" t="s">
        <v>10</v>
      </c>
      <c r="E353" t="s">
        <v>84</v>
      </c>
      <c r="F353" t="s">
        <v>245</v>
      </c>
      <c r="G353" t="s">
        <v>16</v>
      </c>
      <c r="H353">
        <v>1997</v>
      </c>
      <c r="I353">
        <v>2</v>
      </c>
      <c r="J353" s="2" t="s">
        <v>234</v>
      </c>
    </row>
    <row r="354" spans="1:10" x14ac:dyDescent="0.25">
      <c r="A354">
        <v>22967926</v>
      </c>
      <c r="B354" t="s">
        <v>229</v>
      </c>
      <c r="C354" t="s">
        <v>76</v>
      </c>
      <c r="D354" t="s">
        <v>10</v>
      </c>
      <c r="E354" t="s">
        <v>84</v>
      </c>
      <c r="F354" t="s">
        <v>246</v>
      </c>
      <c r="G354" t="s">
        <v>13</v>
      </c>
      <c r="H354">
        <v>1997</v>
      </c>
      <c r="I354">
        <v>1</v>
      </c>
      <c r="J354" s="2" t="s">
        <v>234</v>
      </c>
    </row>
    <row r="355" spans="1:10" x14ac:dyDescent="0.25">
      <c r="A355">
        <v>22967926</v>
      </c>
      <c r="B355" t="s">
        <v>229</v>
      </c>
      <c r="C355" t="s">
        <v>76</v>
      </c>
      <c r="D355" t="s">
        <v>10</v>
      </c>
      <c r="E355" t="s">
        <v>84</v>
      </c>
      <c r="F355" t="s">
        <v>246</v>
      </c>
      <c r="G355" t="s">
        <v>16</v>
      </c>
      <c r="H355">
        <v>1997</v>
      </c>
      <c r="I355">
        <v>1</v>
      </c>
      <c r="J355" s="2" t="s">
        <v>234</v>
      </c>
    </row>
    <row r="356" spans="1:10" x14ac:dyDescent="0.25">
      <c r="A356">
        <v>22967926</v>
      </c>
      <c r="B356" t="s">
        <v>229</v>
      </c>
      <c r="C356" t="s">
        <v>76</v>
      </c>
      <c r="D356" t="s">
        <v>10</v>
      </c>
      <c r="E356" t="s">
        <v>84</v>
      </c>
      <c r="F356" t="s">
        <v>246</v>
      </c>
      <c r="G356" t="s">
        <v>26</v>
      </c>
      <c r="H356">
        <v>1997</v>
      </c>
      <c r="I356">
        <v>1</v>
      </c>
      <c r="J356" s="2" t="s">
        <v>234</v>
      </c>
    </row>
    <row r="357" spans="1:10" x14ac:dyDescent="0.25">
      <c r="A357">
        <v>115093</v>
      </c>
      <c r="B357" t="s">
        <v>9</v>
      </c>
      <c r="C357" t="s">
        <v>76</v>
      </c>
      <c r="D357" t="s">
        <v>10</v>
      </c>
      <c r="E357" t="s">
        <v>44</v>
      </c>
      <c r="F357" t="s">
        <v>47</v>
      </c>
      <c r="G357" t="s">
        <v>13</v>
      </c>
      <c r="H357">
        <v>1998</v>
      </c>
      <c r="I357">
        <v>3</v>
      </c>
      <c r="J357" s="2" t="s">
        <v>48</v>
      </c>
    </row>
    <row r="358" spans="1:10" x14ac:dyDescent="0.25">
      <c r="A358">
        <v>22967926</v>
      </c>
      <c r="B358" t="s">
        <v>229</v>
      </c>
      <c r="C358" t="s">
        <v>76</v>
      </c>
      <c r="D358" t="s">
        <v>10</v>
      </c>
      <c r="E358" t="s">
        <v>49</v>
      </c>
      <c r="F358" t="s">
        <v>50</v>
      </c>
      <c r="G358" t="s">
        <v>90</v>
      </c>
      <c r="H358">
        <v>1998</v>
      </c>
      <c r="I358">
        <v>14</v>
      </c>
      <c r="J358" s="2" t="s">
        <v>247</v>
      </c>
    </row>
    <row r="359" spans="1:10" x14ac:dyDescent="0.25">
      <c r="A359">
        <v>115093</v>
      </c>
      <c r="B359" t="s">
        <v>9</v>
      </c>
      <c r="C359" t="s">
        <v>76</v>
      </c>
      <c r="D359" t="s">
        <v>10</v>
      </c>
      <c r="E359" t="s">
        <v>41</v>
      </c>
      <c r="F359" t="s">
        <v>42</v>
      </c>
      <c r="G359" t="s">
        <v>13</v>
      </c>
      <c r="H359">
        <v>1996</v>
      </c>
      <c r="I359">
        <v>3</v>
      </c>
      <c r="J359" s="2" t="s">
        <v>43</v>
      </c>
    </row>
    <row r="360" spans="1:10" x14ac:dyDescent="0.25">
      <c r="A360">
        <v>115093</v>
      </c>
      <c r="B360" t="s">
        <v>9</v>
      </c>
      <c r="C360" t="s">
        <v>76</v>
      </c>
      <c r="D360" t="s">
        <v>10</v>
      </c>
      <c r="E360" t="s">
        <v>44</v>
      </c>
      <c r="F360" t="s">
        <v>45</v>
      </c>
      <c r="G360" t="s">
        <v>13</v>
      </c>
      <c r="H360">
        <v>1996</v>
      </c>
      <c r="I360">
        <v>2</v>
      </c>
      <c r="J360" s="2" t="s">
        <v>43</v>
      </c>
    </row>
    <row r="361" spans="1:10" x14ac:dyDescent="0.25">
      <c r="A361">
        <v>115093</v>
      </c>
      <c r="B361" t="s">
        <v>9</v>
      </c>
      <c r="C361" t="s">
        <v>76</v>
      </c>
      <c r="D361" t="s">
        <v>10</v>
      </c>
      <c r="E361" t="s">
        <v>44</v>
      </c>
      <c r="F361" t="s">
        <v>46</v>
      </c>
      <c r="G361" t="s">
        <v>13</v>
      </c>
      <c r="H361">
        <v>1996</v>
      </c>
      <c r="I361">
        <v>2</v>
      </c>
      <c r="J361" s="2" t="s">
        <v>43</v>
      </c>
    </row>
  </sheetData>
  <autoFilter ref="A1:J361" xr:uid="{03355E34-7596-4FD1-9694-270F302F97FB}">
    <sortState xmlns:xlrd2="http://schemas.microsoft.com/office/spreadsheetml/2017/richdata2" ref="A2:J361">
      <sortCondition ref="J1:J361"/>
    </sortState>
  </autoFilter>
  <sortState xmlns:xlrd2="http://schemas.microsoft.com/office/spreadsheetml/2017/richdata2" ref="R2:R38">
    <sortCondition ref="R2:R3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0BA5-25CA-488D-BB9C-771082B82FEC}">
  <dimension ref="A1:C138"/>
  <sheetViews>
    <sheetView tabSelected="1" workbookViewId="0">
      <selection activeCell="E8" sqref="E8"/>
    </sheetView>
  </sheetViews>
  <sheetFormatPr defaultRowHeight="15" x14ac:dyDescent="0.25"/>
  <cols>
    <col min="1" max="1" width="12.42578125" bestFit="1" customWidth="1"/>
  </cols>
  <sheetData>
    <row r="1" spans="1:3" x14ac:dyDescent="0.25">
      <c r="A1" s="1" t="s">
        <v>249</v>
      </c>
      <c r="B1" s="1" t="s">
        <v>260</v>
      </c>
      <c r="C1" s="1" t="s">
        <v>250</v>
      </c>
    </row>
    <row r="2" spans="1:3" x14ac:dyDescent="0.25">
      <c r="A2" t="s">
        <v>251</v>
      </c>
      <c r="B2">
        <v>3</v>
      </c>
      <c r="C2" t="str" cm="1">
        <f t="array" ref="C2:C3">_xlfn.UNIQUE(_xlfn._xlws.FILTER('ECOTOX Explore Records'!J:J,'ECOTOX Explore Records'!C:C=A2))</f>
        <v>Dorfman,D. (1977). Tolerance of Fundulus heteroclitus to Different Metals in Salt Waters. Bull. N. J. Acad. Sci., 22, (2), 21-23. ECOREF#:3731</v>
      </c>
    </row>
    <row r="3" spans="1:3" x14ac:dyDescent="0.25">
      <c r="C3" t="str">
        <v>Thomas,A. (1915). Effects of Certain Metallic Salts upon Fishes. Trans. Am. Fish. Soc., 44, (2), 120-124. doi:10.1577/1548-8659(1914)44[120:EOCMSU]2.0.CO;2. ECOREF#:2865</v>
      </c>
    </row>
    <row r="4" spans="1:3" x14ac:dyDescent="0.25">
      <c r="A4" t="s">
        <v>252</v>
      </c>
      <c r="B4">
        <v>3</v>
      </c>
      <c r="C4" t="str" cm="1">
        <f t="array" ref="C4:C12">_xlfn.UNIQUE(_xlfn._xlws.FILTER('ECOTOX Explore Records'!J:J,'ECOTOX Explore Records'!C:C=A4))</f>
        <v>Bears,H., J.G. Richards, and P.M. Schulte (2006). Arsenic Exposure Alters Hepatic Arsenic Species Composition and Stress-Mediated Gene Expression in the Common Killifish (Fundulus heteroclitus). Aquat. Toxicol., 77, (3), 257-266. doi:10.1016/j.aquatox.2005.12.008. ECOREF#:93752</v>
      </c>
    </row>
    <row r="5" spans="1:3" x14ac:dyDescent="0.25">
      <c r="C5" t="str">
        <v>D'Amico,A.R., A.W. Gibson, and L.J. Bain (2014). Embryonic Arsenic Exposure Reduces the Number of Muscle Fibers in Killifish (Fundulus heteroclitus). Aquat. Toxicol., 146, 196-204. doi:10.1016/j.aquatox.2013.11.010. ECOREF#:191802</v>
      </c>
    </row>
    <row r="6" spans="1:3" x14ac:dyDescent="0.25">
      <c r="C6" t="str">
        <v>Gaworecki,K.M., R.W. Chapman, M.G. Neely, A.R. D'Amico, and L.J. Bain (2012). Arsenic Exposure to Killifish During Embryogenesis Alters Muscle Development. Toxicol. Sci., 125, (2), 522-531. doi:10.1093/toxsci/kfr302. ECOREF#:191826</v>
      </c>
    </row>
    <row r="7" spans="1:3" x14ac:dyDescent="0.25">
      <c r="C7" t="str">
        <v>Gonzalez,H. (2007). Differential Gene Expression in Fundulus heteroclitus Due to Arsenic Exposure. Ph.D.Thesis, University of Texas, El Paso, TX, 107 p. ECOREF#:192296</v>
      </c>
    </row>
    <row r="8" spans="1:3" x14ac:dyDescent="0.25">
      <c r="C8" t="str">
        <v>Gonzalez,H.O., J. Hu, K.M. Gaworecki, J.A. Roling, W.S. Baldwin, J.L. Gardea-Torresdey, and L.J. Bain (2010). Dose-Responsive Gene Expression Changes in Juvenile and Adult Mummichogs (Fundulus heteroclitus) After Arsenic Exposure. Mar. Environ. Res., 70, (2), 133-141. doi:10.1016/j.marenvres.2010.04.003. ECOREF#:151954</v>
      </c>
    </row>
    <row r="9" spans="1:3" x14ac:dyDescent="0.25">
      <c r="C9" t="str">
        <v>Gonzalez,H.O., J.A. Roling, W.S. Baldwin, and L.J. Bain (2006). Physiological Changes and Differential Gene Expression in Mummichogs (Fundulus heteroclitus) Exposed to Arsenic. Aquat. Toxicol., 77, (1), 43-52. doi:10.1016/j.aquatox.2005.10.014. ECOREF#:89733</v>
      </c>
    </row>
    <row r="10" spans="1:3" x14ac:dyDescent="0.25">
      <c r="C10" t="str">
        <v>Shaw,J.R., B. Jackson, K. Gabor, S. Stanton, J.W. Hamilton, and B.A. Stanton (2007). The Influence of Exposure History on Arsenic Accumulation and Toxicity in the Killifish, Fundulus heteroclitus. Environ. Toxicol. Chem., 26, (12), 2704-2709. doi:10.1897/07-032.1. ECOREF#:109419</v>
      </c>
    </row>
    <row r="11" spans="1:3" x14ac:dyDescent="0.25">
      <c r="C11" t="str">
        <v>Shaw,J.R., K. Gabor, E. Hand, A. Lankowski, L. Durant, R. Thibodeau, C.R. Stanton, R. Barnaby, B. Coutermarsh, K.H. Kar (2007). Role of Glucocorticoid Receptor in Acclimation of Killifish (Fundulus heteroclitus) to Seawater and Effects of Arsenic. Am. J. Physiol., Regul. Integr. Comp. Physiol., 292, (2), R1052 - R1060. doi:10.1152/ajpregu.00328.2006. ECOREF#:101073</v>
      </c>
    </row>
    <row r="12" spans="1:3" x14ac:dyDescent="0.25">
      <c r="C12" t="str">
        <v>Szymkowicz,D.B., K.C. Sims, N.M. Castro, W.C. Bridges, and L.J. Bain (2017). Embryonic-Only Arsenic Exposure in Killifish (Fundulus heteroclitus) Reduces Growth and Alters Muscle IGF Levels One Year Later. Aquat. Toxicol., 186, 1-10. doi:10.1016/j.aquatox.2017.02.020. ECOREF#:191819</v>
      </c>
    </row>
    <row r="13" spans="1:3" x14ac:dyDescent="0.25">
      <c r="A13" t="s">
        <v>82</v>
      </c>
      <c r="B13">
        <v>4</v>
      </c>
      <c r="C13" t="str" cm="1">
        <f t="array" ref="C13:C39">_xlfn.UNIQUE(_xlfn._xlws.FILTER('ECOTOX Explore Records'!J:J,'ECOTOX Explore Records'!C:C=A13))</f>
        <v>Burton,D.T., and D.J. Fisher (1990). Acute Toxicity of Cadmium, Copper, Zinc, Ammonia, 3,3'-Dichlorobenzidine, 2,6-Dichloro-4-Nitroaniline, Methylene Chloride, and 2,4,6-Trichlorophenol to Juvenile Grass Shrimp and Killifish. Bull. Environ. Contam. Toxicol., 44, (5), 776-783. doi:10.1007/BF01701802. ECOREF#:3163</v>
      </c>
    </row>
    <row r="14" spans="1:3" x14ac:dyDescent="0.25">
      <c r="C14" t="str">
        <v>Dorfman,D. (1977). Tolerance of Fundulus heteroclitus to Different Metals in Salt Waters. Bull. N. J. Acad. Sci., 22, (2), 21-23. ECOREF#:3731</v>
      </c>
    </row>
    <row r="15" spans="1:3" x14ac:dyDescent="0.25">
      <c r="C15" t="str">
        <v>Eisler,R. (1971). Cadmium Poisoning in Fundulus heteroclitus (Pisces:  Cyprinodontidae) and Other Marine Organisms. J. Fish. Res. Board Can., 28, (9), 1225-1234. doi:10.1139/f71-188. ECOREF#:9316</v>
      </c>
    </row>
    <row r="16" spans="1:3" x14ac:dyDescent="0.25">
      <c r="C16" t="str">
        <v>Eisler,R. (1974). Radiocadmium Exchange with Seawater by Fundulus heteroclitus (L.) (Pisces: Cyprinodontidae). J. Fish Biol., 6, 601-612. doi:10.1111/j.1095-8649.1974.tb05103.x. ECOREF#:14337</v>
      </c>
    </row>
    <row r="17" spans="3:3" x14ac:dyDescent="0.25">
      <c r="C17" t="str">
        <v>Eisler,R., and R.J. Hennekey (1977). Acute Toxicities of Cd2+, Cr+6, Hg2+, Ni2+ and Zn2+ to Estuarine Macrofauna. Arch. Environ. Contam. Toxicol., 6, (2-3), 315-323. doi:10.1007/BF02097772. ECOREF#:2253</v>
      </c>
    </row>
    <row r="18" spans="3:3" x14ac:dyDescent="0.25">
      <c r="C18" t="str">
        <v>Eisler,R., G.E. Zaroogian, and R.J. Hennekey (1972). Cadmium Uptake by Marine Organisms. J. Fish. Res. Board Can., 29, (9), 1367-1369. doi:10.1139/f72-212. ECOREF#:9100</v>
      </c>
    </row>
    <row r="19" spans="3:3" x14ac:dyDescent="0.25">
      <c r="C19" t="str">
        <v>Gardner,G.R. (1975). Chemically Induced Lesions in Estuarine or Marine Teleosts. In: W.E.Ribelin and G.Migaki (Eds.), Pathology of Fishes, Univ.of WI Press, Madison, WI, 657-693. ECOREF#:15562</v>
      </c>
    </row>
    <row r="20" spans="3:3" x14ac:dyDescent="0.25">
      <c r="C20" t="str">
        <v>Gill,T.S., and A. Epple (1992). Impact of Cadmium on the Mummichog Fundulus heteroclitus and the Role of Calcium in Suppressing Heavy Metal Toxicity. Comp. Biochem. Physiol. C Comp. Pharmacol., 101, (3), 519-523. doi:10.1016/0742-8413(92)90080-Q. ECOREF#:6445</v>
      </c>
    </row>
    <row r="21" spans="3:3" x14ac:dyDescent="0.25">
      <c r="C21" t="str">
        <v>Jackim,E. (1973). Influence of Lead and Other Metals on Fish Delta-Aminolevulinate Dehydrase Activity. J. Fish. Res. Board Can., 30, (4), 560-562. doi:10.1139/f73-096. ECOREF#:8868</v>
      </c>
    </row>
    <row r="22" spans="3:3" x14ac:dyDescent="0.25">
      <c r="C22" t="str">
        <v>Jackim,E. (1974). Enzyme Responses to Metals in Fish. In: F.J.Vernberg and W.B.Vernberg (Eds.), Pollution and Physiology of Marine Organisms, Academic Press, London, 59-65. ECOREF#:19746</v>
      </c>
    </row>
    <row r="23" spans="3:3" x14ac:dyDescent="0.25">
      <c r="C23" t="str">
        <v>Jackim,E., J.M. Hamlin, and S. Sonis (1970). Effects of Metal Poisoning on Five Liver Enzymes in the Killifish (Fundulus heteroclitus). J. Fish. Res. Board Can., 27, (2), 383-390. doi:10.1139/f70-043. ECOREF#:9700</v>
      </c>
    </row>
    <row r="24" spans="3:3" x14ac:dyDescent="0.25">
      <c r="C24" t="str">
        <v>Kaplan,L.A.E., K. Van Cleef, I. Wirgin, and J.F. Crivello (1995). A Comparison of RT-PCR and Northern Blot Analysis in Quantifying Metallothionein mRNA Levels in Killifish Exposed to Waterborne Cadmium. Mar. Environ. Res., 39, (1-4), 137-141. doi:10.1016/0141-1136(94)00045-Q. ECOREF#:16908</v>
      </c>
    </row>
    <row r="25" spans="3:3" x14ac:dyDescent="0.25">
      <c r="C25" t="str">
        <v>Kuroshima,R. (1992). Cadmium Accumulation in the Mummichog, Fundulus heteroclitus, Adapted to Various Salinities. Bull. Environ. Contam. Toxicol., 49, (5), 680-685. doi:10.1007/BF00200780. ECOREF#:5787</v>
      </c>
    </row>
    <row r="26" spans="3:3" x14ac:dyDescent="0.25">
      <c r="C26" t="str">
        <v>Lin,H.C., and W.A. Dunson (1993). The Effect of Salinity on the Acute Toxicity of Cadmium to the Tropical, Estuarine, Hermaphroditic Fish, Rivulus marmoratus:  A Comparison of Cd, Cu, and Zn Tolerance with Fundulus heteroclitus. Arch. Environ. Contam. Toxicol., 25, (1), 41-47. doi:10.1007/BF00230709. ECOREF#:6784</v>
      </c>
    </row>
    <row r="27" spans="3:3" x14ac:dyDescent="0.25">
      <c r="C27" t="str">
        <v>McKenney,C.L.J., and J.M. Dean (1974). Effects of Acute Exposure to Sublethal Concentrations of Cadmium on the Thermal Resistance of the Mummichog. In: J.W.Gibbons and R.R.Sharitz (Eds.), Proc.Symp.Thermal Ecology, Augusta, GA:43-53 (U.S.NTIS CONF-730505), ECOREF#:8396</v>
      </c>
    </row>
    <row r="28" spans="3:3" x14ac:dyDescent="0.25">
      <c r="C28" t="str">
        <v>Middaugh,D.P., and J.M. Dean (1977). Comparative Sensitivity of Eggs, Larvae and Adults of the Estuarine Teleost, Fundulus heteroclitus and Menidia menidia to Cadmium. Bull. Environ. Contam. Toxicol., 17, (6), 645-652. doi:10.1007/BF01685947. ECOREF#:8334</v>
      </c>
    </row>
    <row r="29" spans="3:3" x14ac:dyDescent="0.25">
      <c r="C29" t="str">
        <v>Pruell,R.J., and F.R. Engelhardt (1980). Liver Cadmium Uptake, Catalase Inhibition and Cadmium Thionein Production in the Killifish (Fundulus heteroclitus) Induced by Experimental. Mar. Environ. Res., 3, (2), 101-111. doi:10.1016/0141-1136(80)90019-7. ECOREF#:9880</v>
      </c>
    </row>
    <row r="30" spans="3:3" x14ac:dyDescent="0.25">
      <c r="C30" t="str">
        <v>Roesijadi,G., S. Rezvankhah, A. Perez-Matus, A. Mitelberg, K. Torruellas, and P.A. Van Veld (2009). Dietary Cadmium and Benzo(a)pyrene Increased Intestinal Metallothionein Expression in the Fish Fundulus heteroclitus. Mar. Environ. Res., 67, (1), 25-30. doi:10.1016/j.marenvres.2008.10.002. ECOREF#:117420</v>
      </c>
    </row>
    <row r="31" spans="3:3" x14ac:dyDescent="0.25">
      <c r="C31" t="str">
        <v>Sauer,G.R. (1987). The Effect of Cadmium and Zinc on Calcium Uptake and Scale Regeneration in Fundulus heteroclitus. In: W.A.Vernberg, A.Calabrese, F.P.Thurberg, and F.J.Vernberg (Eds.), Pollution of Estuarine Organisms, Univ.of SC Press, Columbia, SC, 373-399. ECOREF#:4904</v>
      </c>
    </row>
    <row r="32" spans="3:3" x14ac:dyDescent="0.25">
      <c r="C32" t="str">
        <v>Thomas,A. (1915). Effects of Certain Metallic Salts upon Fishes. Trans. Am. Fish. Soc., 44, (2), 120-124. doi:10.1577/1548-8659(1914)44[120:EOCMSU]2.0.CO;2. ECOREF#:2865</v>
      </c>
    </row>
    <row r="33" spans="1:3" x14ac:dyDescent="0.25">
      <c r="C33" t="str">
        <v>Upjohn Co. (1989). Acute Toxicity of Selected Compounds in the Upjohn Company's North Haven Facility NPDES Discharge Serial #001 to Juvenile Grass &amp; Shrimp Mummichogs (Final Report) w-Cover Letter. EPA/OTS Doc.#86-890000585, 56 p. ECOREF#:177340</v>
      </c>
    </row>
    <row r="34" spans="1:3" x14ac:dyDescent="0.25">
      <c r="C34" t="str">
        <v>Van den Hurk,P., M. Faisal, and M.H.,Jr. Roberts (2000). Interactive Effects of Cadmium and Benzo(a)pyrene on Metallothionein Induction in Mummichog (Fundulus heteroclitus). Mar. Environ. Res., 50, 83-87. doi:10.1016/S0141-1136(00)00098-2. ECOREF#:56643</v>
      </c>
    </row>
    <row r="35" spans="1:3" x14ac:dyDescent="0.25">
      <c r="C35" t="str">
        <v>Voyer,R.A. (1975). Effect of Dissolved Oxygen Concentration on the Acute Toxicity of Cadmium to the Mummichog, Fundulus heteroclitus (L.), at Various Salinities. Trans. Am. Fish. Soc., 104, (1), 129-134. doi:10.1577/1548-8659(1975)104&lt;129:EODOCO&gt;2.0.CO;2. ECOREF#:6172</v>
      </c>
    </row>
    <row r="36" spans="1:3" x14ac:dyDescent="0.25">
      <c r="C36" t="str">
        <v>Voyer,R.A., P.P. Yevich, and C.A. Barszcz (1975). Histological and Toxicological Responses of the Mummichog, Fundulus heteroclitus (L.) to Combinations of Levels of Cadmium and Dissolved Oxygen. Water Res., 9, 1069-1074. doi:10.1016/0043-1354(75)90103-7. ECOREF#:449</v>
      </c>
    </row>
    <row r="37" spans="1:3" x14ac:dyDescent="0.25">
      <c r="C37" t="str">
        <v>Weis,J.S., and P. Weis (1977). Effects of Heavy Metals on Development of the Killifish, Fundulus heterclitus. J. Fish Biol., 11, (1), 49-54. doi:10.1111/j.1095-8649.1977.tb04097.x. ECOREF#:45298</v>
      </c>
    </row>
    <row r="38" spans="1:3" x14ac:dyDescent="0.25">
      <c r="C38" t="str">
        <v>Weis,J.S., P. Weis, and J.L. Ricci (1981). Effects of Cadmium, Zinc, Salinity, and Temperature on the Teratogenicity of Methylmercury to the Killifish (Fundulus heteroclitus). Rapp. P. V. Reun. Comm. Int. Explor. Sci. Mer Mediterr. (Multiple Languages), 178, 64-70. ECOREF#:11419</v>
      </c>
    </row>
    <row r="39" spans="1:3" x14ac:dyDescent="0.25">
      <c r="C39" t="str">
        <v>Weis,P., and J.S. Weis (1986). Cadmium Acclimation and Hormesis in Fundulus heteroclitus During Fin Regeneration. Environ. Res., 39, 356-363. doi:10.1016/S0013-9351(86)80061-5. ECOREF#:11420</v>
      </c>
    </row>
    <row r="40" spans="1:3" x14ac:dyDescent="0.25">
      <c r="A40" t="s">
        <v>92</v>
      </c>
      <c r="B40">
        <v>3</v>
      </c>
      <c r="C40" t="str" cm="1">
        <f t="array" ref="C40:C43">_xlfn.UNIQUE(_xlfn._xlws.FILTER('ECOTOX Explore Records'!J:J,'ECOTOX Explore Records'!C:C=A40))</f>
        <v>Dorfman,D. (1977). Tolerance of Fundulus heteroclitus to Different Metals in Salt Waters. Bull. N. J. Acad. Sci., 22, (2), 21-23. ECOREF#:3731</v>
      </c>
    </row>
    <row r="41" spans="1:3" x14ac:dyDescent="0.25">
      <c r="C41" t="str">
        <v>Eisler,R., and R.J. Hennekey (1977). Acute Toxicities of Cd2+, Cr+6, Hg2+, Ni2+ and Zn2+ to Estuarine Macrofauna. Arch. Environ. Contam. Toxicol., 6, (2-3), 315-323. doi:10.1007/BF02097772. ECOREF#:2253</v>
      </c>
    </row>
    <row r="42" spans="1:3" x14ac:dyDescent="0.25">
      <c r="C42" t="str">
        <v>Maples,N.L., and L.J. Bain (2004). Trivalent Chromium Alters Gene Expression in the Mummichog (Fundulus heteroclitus). Environ. Toxicol. Chem., 23, (3), 626-631. doi:10.1897/03-130. ECOREF#:90284</v>
      </c>
    </row>
    <row r="43" spans="1:3" x14ac:dyDescent="0.25">
      <c r="C43" t="str">
        <v>Thomas,A. (1915). Effects of Certain Metallic Salts upon Fishes. Trans. Am. Fish. Soc., 44, (2), 120-124. doi:10.1577/1548-8659(1914)44[120:EOCMSU]2.0.CO;2. ECOREF#:2865</v>
      </c>
    </row>
    <row r="44" spans="1:3" x14ac:dyDescent="0.25">
      <c r="A44" t="s">
        <v>253</v>
      </c>
      <c r="B44">
        <v>2</v>
      </c>
      <c r="C44" t="str" cm="1">
        <f t="array" ref="C44:C46">_xlfn.UNIQUE(_xlfn._xlws.FILTER('ECOTOX Explore Records'!J:J,'ECOTOX Explore Records'!C:C=A44))</f>
        <v>Dorfman,D. (1977). Tolerance of Fundulus heteroclitus to Different Metals in Salt Waters. Bull. N. J. Acad. Sci., 22, (2), 21-23. ECOREF#:3731</v>
      </c>
    </row>
    <row r="45" spans="1:3" x14ac:dyDescent="0.25">
      <c r="C45" t="str">
        <v>Eisler,R. (1974). Radiocadmium Exchange with Seawater by Fundulus heteroclitus (L.) (Pisces: Cyprinodontidae). J. Fish Biol., 6, 601-612. doi:10.1111/j.1095-8649.1974.tb05103.x. ECOREF#:14337</v>
      </c>
    </row>
    <row r="46" spans="1:3" x14ac:dyDescent="0.25">
      <c r="C46" t="str">
        <v>Thomas,A. (1915). Effects of Certain Metallic Salts upon Fishes. Trans. Am. Fish. Soc., 44, (2), 120-124. doi:10.1577/1548-8659(1914)44[120:EOCMSU]2.0.CO;2. ECOREF#:2865</v>
      </c>
    </row>
    <row r="47" spans="1:3" x14ac:dyDescent="0.25">
      <c r="A47" t="s">
        <v>101</v>
      </c>
      <c r="B47">
        <v>4</v>
      </c>
      <c r="C47" t="str" cm="1">
        <f t="array" ref="C47:C64">_xlfn.UNIQUE(_xlfn._xlws.FILTER('ECOTOX Explore Records'!J:J,'ECOTOX Explore Records'!C:C=A47))</f>
        <v>Bennett,R.O., and J.K. Dooley (1982). Copper Uptake by Two Sympatric Species of Killifish Fundulus heteroclitus (L.)and F. majalis (Walbaum). J. Fish Biol., 21, (4), 381-398. doi:10.1111/j.1095-8649.1982.tb02843.x. ECOREF#:10491</v>
      </c>
    </row>
    <row r="48" spans="1:3" x14ac:dyDescent="0.25">
      <c r="C48" t="str">
        <v>Blanchard,J., and M. Grosell (2005). Effects of Salinity on Copper Accumulation in the Common Killifish (Fundulus heteroclitus). Environ. Toxicol. Chem., 24, (6), 1403-1413. doi:10.1897/04-373R.1. ECOREF#:108070</v>
      </c>
    </row>
    <row r="49" spans="3:3" x14ac:dyDescent="0.25">
      <c r="C49" t="str">
        <v>Blanchard,J., and M. Grosell (2006). Copper Toxicity Across Salinities from Freshwater to Seawater in the Euryhaline Fish Fundulus heteroclitus:  Is Copper an Ionoregulatory Toxicant in High Salinities?. Aquat. Toxicol., 80, (2), 131-139. doi:10.1016/j.aquatox.2006.08.001. ECOREF#:89744</v>
      </c>
    </row>
    <row r="50" spans="3:3" x14ac:dyDescent="0.25">
      <c r="C50" t="str">
        <v>Blanchard,J., K. Brix, and M. Grosell (2009). Subcellular Fractionation of Cu Exposed Oysters, Crassostrea virginica, and Cu Accumulation from a Biologically Incorporated Cu Rich Oyster Diet in Fundulus heteroclitus in Fresh and Sea Water. Comp. Biochem. Physiol. C Comp. Pharmacol. Toxicol., 149, (4), 531-537. doi:10.1016/j.cbpc.2008.12.001. ECOREF#:115950</v>
      </c>
    </row>
    <row r="51" spans="3:3" x14ac:dyDescent="0.25">
      <c r="C51" t="str">
        <v>Burton,D.T., and D.J. Fisher (1990). Acute Toxicity of Cadmium, Copper, Zinc, Ammonia, 3,3'-Dichlorobenzidine, 2,6-Dichloro-4-Nitroaniline, Methylene Chloride, and 2,4,6-Trichlorophenol to Juvenile Grass Shrimp and Killifish. Bull. Environ. Contam. Toxicol., 44, (5), 776-783. doi:10.1007/BF01701802. ECOREF#:3163</v>
      </c>
    </row>
    <row r="52" spans="3:3" x14ac:dyDescent="0.25">
      <c r="C52" t="str">
        <v>Dorfman,D. (1977). Tolerance of Fundulus heteroclitus to Different Metals in Salt Waters. Bull. N. J. Acad. Sci., 22, (2), 21-23. ECOREF#:3731</v>
      </c>
    </row>
    <row r="53" spans="3:3" x14ac:dyDescent="0.25">
      <c r="C53" t="str">
        <v>Eisler,R., and G.R. Gardner (1973). Acute Toxicology to an Estuarine Teleost of Mixtures of Cadmium, Copper and Zinc Salts. J. Fish Biol., 5, (2), 131-142. doi:10.1111/j.1095-8649.1973.tb04441.x. ECOREF#:8342</v>
      </c>
    </row>
    <row r="54" spans="3:3" x14ac:dyDescent="0.25">
      <c r="C54" t="str">
        <v>Gardner,G.R. (1975). Chemically Induced Lesions in Estuarine or Marine Teleosts. In: W.E.Ribelin and G.Migaki (Eds.), Pathology of Fishes, Univ.of WI Press, Madison, WI, 657-693. ECOREF#:15562</v>
      </c>
    </row>
    <row r="55" spans="3:3" x14ac:dyDescent="0.25">
      <c r="C55" t="str">
        <v>Gardner,G.R., and G. Laroche (1973). Copper Induced Lesions in Estuarine Teleosts. J. Fish. Res. Board Can., 30, (3), 363-368. doi:10.1139/f73-066. ECOREF#:8841</v>
      </c>
    </row>
    <row r="56" spans="3:3" x14ac:dyDescent="0.25">
      <c r="C56" t="str">
        <v>Grosell,M., J. Blanchard, K.V. Brix, and R. Gerdes (2007). Physiology is Pivotal for Interactions Between Salinity and Acute Copper Toxicity to Fish and Invertebrates. Aquat. Toxicol., 84, (2), 162-172. doi:10.1016/j.aquatox.2007.03.026. ECOREF#:105967</v>
      </c>
    </row>
    <row r="57" spans="3:3" x14ac:dyDescent="0.25">
      <c r="C57" t="str">
        <v>Jackim,E. (1973). Influence of Lead and Other Metals on Fish Delta-Aminolevulinate Dehydrase Activity. J. Fish. Res. Board Can., 30, (4), 560-562. doi:10.1139/f73-096. ECOREF#:8868</v>
      </c>
    </row>
    <row r="58" spans="3:3" x14ac:dyDescent="0.25">
      <c r="C58" t="str">
        <v>Jackim,E. (1974). Enzyme Responses to Metals in Fish. In: F.J.Vernberg and W.B.Vernberg (Eds.), Pollution and Physiology of Marine Organisms, Academic Press, London, 59-65. ECOREF#:19746</v>
      </c>
    </row>
    <row r="59" spans="3:3" x14ac:dyDescent="0.25">
      <c r="C59" t="str">
        <v>Jackim,E., J.M. Hamlin, and S. Sonis (1970). Effects of Metal Poisoning on Five Liver Enzymes in the Killifish (Fundulus heteroclitus). J. Fish. Res. Board Can., 27, (2), 383-390. doi:10.1139/f70-043. ECOREF#:9700</v>
      </c>
    </row>
    <row r="60" spans="3:3" x14ac:dyDescent="0.25">
      <c r="C60" t="str">
        <v>Laroche,G., G.R. Gardner, R. Eisler, E.H. Jackim, P.P. Yevish, and G.E. Zaroogian (1973). Analysis of Toxic Response in Marine Poikilotherms. In: G.E.Glass (Ed.), Bioassay Techniques and Environmental Chemistry, Ann Arbor, MI, 199-216. ECOREF#:8849</v>
      </c>
    </row>
    <row r="61" spans="3:3" x14ac:dyDescent="0.25">
      <c r="C61" t="str">
        <v>Lin,H.C., and W.A. Dunson (1993). The Effect of Salinity on the Acute Toxicity of Cadmium to the Tropical, Estuarine, Hermaphroditic Fish, Rivulus marmoratus:  A Comparison of Cd, Cu, and Zn Tolerance with Fundulus heteroclitus. Arch. Environ. Contam. Toxicol., 25, (1), 41-47. doi:10.1007/BF00230709. ECOREF#:6784</v>
      </c>
    </row>
    <row r="62" spans="3:3" x14ac:dyDescent="0.25">
      <c r="C62" t="str">
        <v>Ortiz,J.B., M.L. Gonzalez de Canales, and C. Sarasquete (1999). Quantification and Histopathological Alterations Produced by Sublethal Concentrations of Copper in Fundulus heteroclitus(Cuantificacion y Alteraciones Histopatologicas Producidas por Concentraciones Subletales de Cobre . Cienc. Mar., 25, (1), 119-143. doi:10.7773/cm.v25i1.644. ECOREF#:117476</v>
      </c>
    </row>
    <row r="63" spans="3:3" x14ac:dyDescent="0.25">
      <c r="C63" t="str">
        <v>Thomas,A. (1915). Effects of Certain Metallic Salts upon Fishes. Trans. Am. Fish. Soc., 44, (2), 120-124. doi:10.1577/1548-8659(1914)44[120:EOCMSU]2.0.CO;2. ECOREF#:2865</v>
      </c>
    </row>
    <row r="64" spans="3:3" x14ac:dyDescent="0.25">
      <c r="C64" t="str">
        <v>Weis,P. (1984). Metallothionein and Mercury Tolerance in the Killifish, Fundulus heteroclitus. Mar. Environ. Res., 14, (1-4), 153-166. doi:10.1016/0141-1136(84)90076-X. ECOREF#:11357</v>
      </c>
    </row>
    <row r="65" spans="1:3" x14ac:dyDescent="0.25">
      <c r="A65" t="s">
        <v>254</v>
      </c>
      <c r="B65">
        <v>4</v>
      </c>
      <c r="C65" t="str" cm="1">
        <f t="array" ref="C65:C66">_xlfn.UNIQUE(_xlfn._xlws.FILTER('ECOTOX Explore Records'!J:J,'ECOTOX Explore Records'!C:C=A65))</f>
        <v>Dorfman,D. (1977). Tolerance of Fundulus heteroclitus to Different Metals in Salt Waters. Bull. N. J. Acad. Sci., 22, (2), 21-23. ECOREF#:3731</v>
      </c>
    </row>
    <row r="66" spans="1:3" x14ac:dyDescent="0.25">
      <c r="C66" t="str">
        <v>Thomas,A. (1915). Effects of Certain Metallic Salts upon Fishes. Trans. Am. Fish. Soc., 44, (2), 120-124. doi:10.1577/1548-8659(1914)44[120:EOCMSU]2.0.CO;2. ECOREF#:2865</v>
      </c>
    </row>
    <row r="67" spans="1:3" x14ac:dyDescent="0.25">
      <c r="A67" t="s">
        <v>68</v>
      </c>
      <c r="B67">
        <v>3</v>
      </c>
      <c r="C67" t="str" cm="1">
        <f t="array" ref="C67:C74">_xlfn.UNIQUE(_xlfn._xlws.FILTER('ECOTOX Explore Records'!J:J,'ECOTOX Explore Records'!C:C=A67))</f>
        <v>Dorfman,D. (1977). Tolerance of Fundulus heteroclitus to Different Metals in Salt Waters. Bull. N. J. Acad. Sci., 22, (2), 21-23. ECOREF#:3731</v>
      </c>
    </row>
    <row r="68" spans="1:3" x14ac:dyDescent="0.25">
      <c r="C68" t="str">
        <v>Jackim,E. (1973). Influence of Lead and Other Metals on Fish Delta-Aminolevulinate Dehydrase Activity. J. Fish. Res. Board Can., 30, (4), 560-562. doi:10.1139/f73-096. ECOREF#:8868</v>
      </c>
    </row>
    <row r="69" spans="1:3" x14ac:dyDescent="0.25">
      <c r="C69" t="str">
        <v>Jackim,E. (1974). Enzyme Responses to Metals in Fish. In: F.J.Vernberg and W.B.Vernberg (Eds.), Pollution and Physiology of Marine Organisms, Academic Press, London, 59-65. ECOREF#:19746</v>
      </c>
    </row>
    <row r="70" spans="1:3" x14ac:dyDescent="0.25">
      <c r="C70" t="str">
        <v>Jackim,E., J.M. Hamlin, and S. Sonis (1970). Effects of Metal Poisoning on Five Liver Enzymes in the Killifish (Fundulus heteroclitus). J. Fish. Res. Board Can., 27, (2), 383-390. doi:10.1139/f70-043. ECOREF#:9700</v>
      </c>
    </row>
    <row r="71" spans="1:3" x14ac:dyDescent="0.25">
      <c r="C71" t="str">
        <v>Thomas,A. (1915). Effects of Certain Metallic Salts upon Fishes. Trans. Am. Fish. Soc., 44, (2), 120-124. doi:10.1577/1548-8659(1914)44[120:EOCMSU]2.0.CO;2. ECOREF#:2865</v>
      </c>
    </row>
    <row r="72" spans="1:3" x14ac:dyDescent="0.25">
      <c r="C72" t="str">
        <v>Toppin,S.R.V. (1985). Factors and Mechanisms Affecting the Toxicity of Mercury to the Killifish, Fundulus heteroclitus. Ph.D.Thesis, Rutgers University, Newark, NJ, 135 p. ECOREF#:4250</v>
      </c>
    </row>
    <row r="73" spans="1:3" x14ac:dyDescent="0.25">
      <c r="C73" t="str">
        <v>Weis,J.S., and P. Weis (1977). Effects of Heavy Metals on Development of the Killifish, Fundulus heterclitus. J. Fish Biol., 11, (1), 49-54. doi:10.1111/j.1095-8649.1977.tb04097.x. ECOREF#:45298</v>
      </c>
    </row>
    <row r="74" spans="1:3" x14ac:dyDescent="0.25">
      <c r="C74" t="str">
        <v>Weis,P., and J.S. Weis (1982). Toxicity of Methylmercury, Mercuric Chloride, and Lead in Killifish (Fundulus heteroclitus) from Southampton, New York. Environ. Res., 28, (2), 364-374. doi:10.1016/0013-9351(82)90135-9. ECOREF#:15614</v>
      </c>
    </row>
    <row r="75" spans="1:3" x14ac:dyDescent="0.25">
      <c r="A75" t="s">
        <v>255</v>
      </c>
      <c r="C75" t="e" cm="1" vm="1">
        <f t="array" ref="C75">_xlfn.UNIQUE(_xlfn._xlws.FILTER('ECOTOX Explore Records'!J:J,'ECOTOX Explore Records'!C:C=A75))</f>
        <v>#VALUE!</v>
      </c>
    </row>
    <row r="76" spans="1:3" x14ac:dyDescent="0.25">
      <c r="A76" t="s">
        <v>256</v>
      </c>
      <c r="B76">
        <v>2</v>
      </c>
      <c r="C76" t="str" cm="1">
        <f t="array" ref="C76:C79">_xlfn.UNIQUE(_xlfn._xlws.FILTER('ECOTOX Explore Records'!J:J,'ECOTOX Explore Records'!C:C=A76))</f>
        <v>Dorfman,D. (1977). Tolerance of Fundulus heteroclitus to Different Metals in Salt Waters. Bull. N. J. Acad. Sci., 22, (2), 21-23. ECOREF#:3731</v>
      </c>
    </row>
    <row r="77" spans="1:3" x14ac:dyDescent="0.25">
      <c r="C77" t="str">
        <v>Eisler,R. (1974). Radiocadmium Exchange with Seawater by Fundulus heteroclitus (L.) (Pisces: Cyprinodontidae). J. Fish Biol., 6, 601-612. doi:10.1111/j.1095-8649.1974.tb05103.x. ECOREF#:14337</v>
      </c>
    </row>
    <row r="78" spans="1:3" x14ac:dyDescent="0.25">
      <c r="C78" t="str">
        <v>Eisler,R., and R.J. Hennekey (1977). Acute Toxicities of Cd2+, Cr+6, Hg2+, Ni2+ and Zn2+ to Estuarine Macrofauna. Arch. Environ. Contam. Toxicol., 6, (2-3), 315-323. doi:10.1007/BF02097772. ECOREF#:2253</v>
      </c>
    </row>
    <row r="79" spans="1:3" x14ac:dyDescent="0.25">
      <c r="C79" t="str">
        <v>Thomas,A. (1915). Effects of Certain Metallic Salts upon Fishes. Trans. Am. Fish. Soc., 44, (2), 120-124. doi:10.1577/1548-8659(1914)44[120:EOCMSU]2.0.CO;2. ECOREF#:2865</v>
      </c>
    </row>
    <row r="80" spans="1:3" x14ac:dyDescent="0.25">
      <c r="A80" t="s">
        <v>257</v>
      </c>
      <c r="C80" t="e" cm="1" vm="1">
        <f t="array" ref="C80">_xlfn.UNIQUE(_xlfn._xlws.FILTER('ECOTOX Explore Records'!J:J,'ECOTOX Explore Records'!C:C=A80))</f>
        <v>#VALUE!</v>
      </c>
    </row>
    <row r="81" spans="1:3" x14ac:dyDescent="0.25">
      <c r="A81" t="s">
        <v>258</v>
      </c>
      <c r="B81">
        <v>1</v>
      </c>
      <c r="C81" t="str" cm="1">
        <f t="array" ref="C81">_xlfn.UNIQUE(_xlfn._xlws.FILTER('ECOTOX Explore Records'!J:J,'ECOTOX Explore Records'!C:C=A81))</f>
        <v>Dorfman,D. (1977). Tolerance of Fundulus heteroclitus to Different Metals in Salt Waters. Bull. N. J. Acad. Sci., 22, (2), 21-23. ECOREF#:3731</v>
      </c>
    </row>
    <row r="82" spans="1:3" x14ac:dyDescent="0.25">
      <c r="A82" t="s">
        <v>259</v>
      </c>
      <c r="B82">
        <v>2</v>
      </c>
      <c r="C82" t="str" cm="1">
        <f t="array" ref="C82:C98">_xlfn.UNIQUE(_xlfn._xlws.FILTER('ECOTOX Explore Records'!J:J,'ECOTOX Explore Records'!C:C=A82))</f>
        <v>Bielmyer,G.K., J.B. Bullington, C.A. Decarlo, S.J. Chalk, and K. Smith (2012). The Effects of Salinity on Acute Toxicity of Zinc to Two Euryhaline Species of Fish, Fundulus heteroclitus and Kryptolebias marmoratus. Integr. Comp. Biol., 52, (6), 753-760. doi:10.1093/icb/ics045. ECOREF#:193805</v>
      </c>
    </row>
    <row r="83" spans="1:3" x14ac:dyDescent="0.25">
      <c r="C83" t="str">
        <v>Burton,D.T., and D.J. Fisher (1990). Acute Toxicity of Cadmium, Copper, Zinc, Ammonia, 3,3'-Dichlorobenzidine, 2,6-Dichloro-4-Nitroaniline, Methylene Chloride, and 2,4,6-Trichlorophenol to Juvenile Grass Shrimp and Killifish. Bull. Environ. Contam. Toxicol., 44, (5), 776-783. doi:10.1007/BF01701802. ECOREF#:3163</v>
      </c>
    </row>
    <row r="84" spans="1:3" x14ac:dyDescent="0.25">
      <c r="C84" t="str">
        <v>Cardin,J.A. (1985). Acute Toxicity Data for Zinc and the Saltwater Fish, Fundulus heteroclitus, Menidia menidia and Pseudopleuronectes americanus. Memo to D.J.Hansen, U.S.EPA, Narragansett, RI, 5 p. ECOREF#:79648</v>
      </c>
    </row>
    <row r="85" spans="1:3" x14ac:dyDescent="0.25">
      <c r="C85" t="str">
        <v>Dorfman,D. (1977). Tolerance of Fundulus heteroclitus to Different Metals in Salt Waters. Bull. N. J. Acad. Sci., 22, (2), 21-23. ECOREF#:3731</v>
      </c>
    </row>
    <row r="86" spans="1:3" x14ac:dyDescent="0.25">
      <c r="C86" t="str">
        <v>Eisler,R. (1967). Acute Toxicity of Zinc to the Killfish, Fundulus heteroclitus. Chesapeake Sci., 8, 262-264. doi:10.2307/1350346. ECOREF#:14111</v>
      </c>
    </row>
    <row r="87" spans="1:3" x14ac:dyDescent="0.25">
      <c r="C87" t="str">
        <v>Eisler,R., and G.R. Gardner (1973). Acute Toxicology to an Estuarine Teleost of Mixtures of Cadmium, Copper and Zinc Salts. J. Fish Biol., 5, (2), 131-142. doi:10.1111/j.1095-8649.1973.tb04441.x. ECOREF#:8342</v>
      </c>
    </row>
    <row r="88" spans="1:3" x14ac:dyDescent="0.25">
      <c r="C88" t="str">
        <v>Eisler,R., and R.J. Hennekey (1977). Acute Toxicities of Cd2+, Cr+6, Hg2+, Ni2+ and Zn2+ to Estuarine Macrofauna. Arch. Environ. Contam. Toxicol., 6, (2-3), 315-323. doi:10.1007/BF02097772. ECOREF#:2253</v>
      </c>
    </row>
    <row r="89" spans="1:3" x14ac:dyDescent="0.25">
      <c r="C89" t="str">
        <v>Guy,C.P., A.E. Pinkney, and M.H. Taylor (2006). Effects of Sediment-Bound Zinc Contamination on Early Life Stages of the Mummichog (Fundulus heteroclitus L.) in the Christina Watershed, Delaware, USA. Environ. Toxicol. Chem., 25, (5), 1305-1311. doi:10.1897/05-249R.1. ECOREF#:101779</v>
      </c>
    </row>
    <row r="90" spans="1:3" x14ac:dyDescent="0.25">
      <c r="C90" t="str">
        <v>Jackim,E. (1973). Influence of Lead and Other Metals on Fish Delta-Aminolevulinate Dehydrase Activity. J. Fish. Res. Board Can., 30, (4), 560-562. doi:10.1139/f73-096. ECOREF#:8868</v>
      </c>
    </row>
    <row r="91" spans="1:3" x14ac:dyDescent="0.25">
      <c r="C91" t="str">
        <v>Lin,H.C., and W.A. Dunson (1993). The Effect of Salinity on the Acute Toxicity of Cadmium to the Tropical, Estuarine, Hermaphroditic Fish, Rivulus marmoratus:  A Comparison of Cd, Cu, and Zn Tolerance with Fundulus heteroclitus. Arch. Environ. Contam. Toxicol., 25, (1), 41-47. doi:10.1007/BF00230709. ECOREF#:6784</v>
      </c>
    </row>
    <row r="92" spans="1:3" x14ac:dyDescent="0.25">
      <c r="C92" t="str">
        <v>Sauer,G.R. (1987). The Effect of Cadmium and Zinc on Calcium Uptake and Scale Regeneration in Fundulus heteroclitus. In: W.A.Vernberg, A.Calabrese, F.P.Thurberg, and F.J.Vernberg (Eds.), Pollution of Estuarine Organisms, Univ.of SC Press, Columbia, SC, 373-399. ECOREF#:4904</v>
      </c>
    </row>
    <row r="93" spans="1:3" x14ac:dyDescent="0.25">
      <c r="C93" t="str">
        <v>Sauer,G.R., and N. Watabe (1984). Zinc Uptake and its Effect on Calcification in the Scales of the Mummichog, Fundulus heteroclitus. Aquat. Toxicol., 5, (1), 51-66. doi:10.1016/0166-445X(84)90031-6. ECOREF#:10110</v>
      </c>
    </row>
    <row r="94" spans="1:3" x14ac:dyDescent="0.25">
      <c r="C94" t="str">
        <v>Sauer,G.R., and N. Watabe (1989). Temporal and Metal-Specific Patterns in the Accumulation of Heavy Metals by the Scales of Fundulus heteroclitus. Aquat. Toxicol., 14, (3), 233-248. doi:10.1016/0166-445X(89)90018-0. ECOREF#:3501</v>
      </c>
    </row>
    <row r="95" spans="1:3" x14ac:dyDescent="0.25">
      <c r="C95" t="str">
        <v>Sauer,G.R., and N. Watabe (1989). Ultrastructural and Histochemical Aspects of Zinc Accumulation by Fish Scales. Tissue Cell, 21, (6), 935-943. doi:10.1016/0040-8166(89)90044-X. ECOREF#:137</v>
      </c>
    </row>
    <row r="96" spans="1:3" x14ac:dyDescent="0.25">
      <c r="C96" t="str">
        <v>Thomas,A. (1915). Effects of Certain Metallic Salts upon Fishes. Trans. Am. Fish. Soc., 44, (2), 120-124. doi:10.1577/1548-8659(1914)44[120:EOCMSU]2.0.CO;2. ECOREF#:2865</v>
      </c>
    </row>
    <row r="97" spans="1:3" x14ac:dyDescent="0.25">
      <c r="C97" t="str">
        <v>Weis,J.S., P. Weis, and J.L. Ricci (1981). Effects of Cadmium, Zinc, Salinity, and Temperature on the Teratogenicity of Methylmercury to the Killifish (Fundulus heteroclitus). Rapp. P. V. Reun. Comm. Int. Explor. Sci. Mer Mediterr. (Multiple Languages), 178, 64-70. ECOREF#:11419</v>
      </c>
    </row>
    <row r="98" spans="1:3" x14ac:dyDescent="0.25">
      <c r="C98" t="str">
        <v>Weis,P., and J.S. Weis (1980). Effect of Zinc on Fin Regeneration in the Mummichog Fundulus heteroclitus, and its Interaction with Methylmercury. Fish. Bull., 78, (1), 163-166. ECOREF#:9922</v>
      </c>
    </row>
    <row r="99" spans="1:3" x14ac:dyDescent="0.25">
      <c r="A99" t="s">
        <v>76</v>
      </c>
      <c r="B99">
        <v>6</v>
      </c>
      <c r="C99" t="str" cm="1">
        <f t="array" ref="C99:C138">_xlfn.UNIQUE(_xlfn._xlws.FILTER('ECOTOX Explore Records'!J:J,'ECOTOX Explore Records'!C:C=A99))</f>
        <v>Dorfman,D. (1977). Tolerance of Fundulus heteroclitus to Different Metals in Salt Waters. Bull. N. J. Acad. Sci., 22, (2), 21-23. ECOREF#:3731</v>
      </c>
    </row>
    <row r="100" spans="1:3" x14ac:dyDescent="0.25">
      <c r="C100" t="str">
        <v>Eisler,R., and R.J. Hennekey (1977). Acute Toxicities of Cd2+, Cr+6, Hg2+, Ni2+ and Zn2+ to Estuarine Macrofauna. Arch. Environ. Contam. Toxicol., 6, (2-3), 315-323. doi:10.1007/BF02097772. ECOREF#:2253</v>
      </c>
    </row>
    <row r="101" spans="1:3" x14ac:dyDescent="0.25">
      <c r="C101" t="str">
        <v>Gardner,G.R. (1975). Chemically Induced Lesions in Estuarine or Marine Teleosts. In: W.E.Ribelin and G.Migaki (Eds.), Pathology of Fishes, Univ.of WI Press, Madison, WI, 657-693. ECOREF#:15562</v>
      </c>
    </row>
    <row r="102" spans="1:3" x14ac:dyDescent="0.25">
      <c r="C102" t="str">
        <v>Jackim,E. (1974). Enzyme Responses to Metals in Fish. In: F.J.Vernberg and W.B.Vernberg (Eds.), Pollution and Physiology of Marine Organisms, Academic Press, London, 59-65. ECOREF#:19746</v>
      </c>
    </row>
    <row r="103" spans="1:3" x14ac:dyDescent="0.25">
      <c r="C103" t="str">
        <v>Jackim,E., J.M. Hamlin, and S. Sonis (1970). Effects of Metal Poisoning on Five Liver Enzymes in the Killifish (Fundulus heteroclitus). J. Fish. Res. Board Can., 27, (2), 383-390. doi:10.1139/f70-043. ECOREF#:9700</v>
      </c>
    </row>
    <row r="104" spans="1:3" x14ac:dyDescent="0.25">
      <c r="C104" t="str">
        <v>Khan,A.T. (1987). Effects of Mercury on Fertilization Success of Sperm and Eggs of Two Populations of Killifish, Fundulus heteroclitus. Ph.D.Thesis, Rutgers, The State University of New Jersey, New Brunswick, NJ, 131 p. ECOREF#:17328</v>
      </c>
    </row>
    <row r="105" spans="1:3" x14ac:dyDescent="0.25">
      <c r="C105" t="str">
        <v>Khan,A.T., and J.S. Weis (1987). Effect of Mercuric Chloride on Eggs and Juvenile Viability in Two Populations of Killifish. Mar. Pollut. Bull., 18, (9), 504-505. doi:10.1016/0025-326X(87)90362-6. ECOREF#:8494</v>
      </c>
    </row>
    <row r="106" spans="1:3" x14ac:dyDescent="0.25">
      <c r="C106" t="str">
        <v>Khan,A.T., and J.S. Weis (1987). Effect of Methylmercury on Egg and Juvenile Viability in Two Populations of Killifish Fundulus heteroclitus. Environ. Res., 44, 272-278. doi:10.1016/S0013-9351(87)80236-0. ECOREF#:5602</v>
      </c>
    </row>
    <row r="107" spans="1:3" x14ac:dyDescent="0.25">
      <c r="C107" t="str">
        <v>Khan,A.T., and J.S. Weis (1987). Effects of Methylmercury on Sperm and Egg Viability of Two Populations of Killifish (Fundulus heteroclitus). Arch. Environ. Contam. Toxicol., 16, (4), 499-505. doi:10.1007/BF01055273. ECOREF#:12573</v>
      </c>
    </row>
    <row r="108" spans="1:3" x14ac:dyDescent="0.25">
      <c r="C108" t="str">
        <v>Khan,A.T., and J.S. Weis (1987). Toxic Effects of Mercuric Chloride on Sperm and Egg Viability of Two Populations of Mummichog, Fundulus heteroclitus. Environ. Pollut., 48, 263-273. doi:10.1016/0269-7491(87)90107-2. ECOREF#:5655</v>
      </c>
    </row>
    <row r="109" spans="1:3" x14ac:dyDescent="0.25">
      <c r="C109" t="str">
        <v>Khan,A.T., and J.S. Weis (1993). Differential Effects of Organic and Inorganic Mercury on the Micropyle of the Eggs of Fundulus heteroclitus. Environ. Biol. Fishes, 37, (3), 323-327. doi:10.1007/BF00004640. ECOREF#:14008</v>
      </c>
    </row>
    <row r="110" spans="1:3" x14ac:dyDescent="0.25">
      <c r="C110" t="str">
        <v>Khan,A.T., and J.S. Weis (1994). Effects of Embryonic Pre-Exposure to Mercury on Larval Tolerance in Two Populations of Killifish (Fundulus heteroclitus). Environ. Sci. (Tokyo), 2, (4), 201-207. ECOREF#:16895</v>
      </c>
    </row>
    <row r="111" spans="1:3" x14ac:dyDescent="0.25">
      <c r="C111" t="str">
        <v>Klaunig,J., S. Koepp, and M. McCormick (1975). Acute Toxicity of a Native Mummichog Population (Fundulus heteroclitus) to Mercury. Bull. Environ. Contam. Toxicol., 14, (5), 534-536. doi:10.1007/BF01683367. ECOREF#:5515</v>
      </c>
    </row>
    <row r="112" spans="1:3" x14ac:dyDescent="0.25">
      <c r="C112" t="str">
        <v>Koepp,S.J., and N.C. Dorato (1978). Fine Structure of the Fish Chloride Cell Associated with Both Acute and Chronic Exposure to Mercury. In: Proc. of the 9th Internat. Congr. Electron Microscopy, Toronto, Canada, 452-453. ECOREF#:8378</v>
      </c>
    </row>
    <row r="113" spans="3:3" x14ac:dyDescent="0.25">
      <c r="C113" t="str">
        <v>Koepp,S.J., and N.C. Dorato (1979). Cytopathologic Response of the Chloride Cell of an Estuarine Fish (Fundulus heteroclitus) Associated with Both Acute and Chronic Exposure to Mercury. Manage.Control Heavy Met.Environ.Int.Conf, 148-151. ECOREF#:8379</v>
      </c>
    </row>
    <row r="114" spans="3:3" x14ac:dyDescent="0.25">
      <c r="C114" t="str">
        <v>Matta,M.B., J. Linse, C. Cairncross, L. Francendese, and R.M. Kocan (2001). Reproductive and Transgenerational Effects of Methylmercury or Aroclor 1268 on Fundulus heteroclitus. Environ. Toxicol. Chem., 20, (2), 327-335. doi:10.1002/etc.5620200213. ECOREF#:56679</v>
      </c>
    </row>
    <row r="115" spans="3:3" x14ac:dyDescent="0.25">
      <c r="C115" t="str">
        <v>Perry,D.M., J.S. Weis, and P. Weis (1988). Cytogenetic Effects of Methylmercury in Embryos of the Killifish, Fundulus heteroclitus. Arch. Environ. Contam. Toxicol., 17, (5), 569-574. doi:10.1007/BF01055824. ECOREF#:15247</v>
      </c>
    </row>
    <row r="116" spans="3:3" x14ac:dyDescent="0.25">
      <c r="C116" t="str">
        <v>Renfro,J.L., B. Schmidt-Nielsen, D. Miller, D. Benos, and J. Allen (1974). Methyl Mercury and Inorganic Mercury:  Uptake, Distribution, and Effect on Osmoregulatory Mechanisms in Fishes. In: F.J.Vernberg and W.B.Vernberg (Eds.), Pollution and Physiology of Mar.Organisms, Acad.Press, NY, 101-122. ECOREF#:8685</v>
      </c>
    </row>
    <row r="117" spans="3:3" x14ac:dyDescent="0.25">
      <c r="C117" t="str">
        <v>Sharp,J.R., and J.M. Neff (1980). Effects of the Duration of Exposure to Mercuric Chloride on the Embryogenesis of the Estuarine Teleost, Fundulus heteroclitus. Mar. Environ. Res., 3, (3), 195-213. doi:10.1016/0141-1136(80)90027-6. ECOREF#:5634</v>
      </c>
    </row>
    <row r="118" spans="3:3" x14ac:dyDescent="0.25">
      <c r="C118" t="str">
        <v>Sharp,J.R., and J.M. Neff (1982). The Toxicity of Mercuric Chloride and Methylmercuric Chloride to Fundulus heteroclitus Embryos in Relation to Exposure Conditions. Environ. Biol. Fishes, 7, (3), 277-284. doi:10.1007/BF00002502. ECOREF#:10517</v>
      </c>
    </row>
    <row r="119" spans="3:3" x14ac:dyDescent="0.25">
      <c r="C119" t="str">
        <v>Sheline,J., and B. Schmidt-Nielsen (1977). Methylmercury-Selenium: Interaction in the Killifish, Fundulus heteroclitus. In: F.J.Vernberg (Ed.), Physiological Responses of Marine Biota to Pollutants, Academic Press, NY, 119-130. ECOREF#:14107</v>
      </c>
    </row>
    <row r="120" spans="3:3" x14ac:dyDescent="0.25">
      <c r="C120" t="str">
        <v>Toppin,S.R.V. (1985). Factors and Mechanisms Affecting the Toxicity of Mercury to the Killifish, Fundulus heteroclitus. Ph.D.Thesis, Rutgers University, Newark, NJ, 135 p. ECOREF#:4250</v>
      </c>
    </row>
    <row r="121" spans="3:3" x14ac:dyDescent="0.25">
      <c r="C121" t="str">
        <v>Toppin,S.V., M. Heber, J.S. Weis, and P. Weis (1985). Changes in Reproductive Biology and Life History of Fundulus heteroclitus in a Polluted Environment. In: W.B.Vernberg, A.Calabrese, F.P.Thurberg, and F.J.Vernberg (Eds.), Pollution Physiology of Estuarine Organisms, University of South Carolina Press, Columbia, SC, 171-184. ECOREF#:172482</v>
      </c>
    </row>
    <row r="122" spans="3:3" x14ac:dyDescent="0.25">
      <c r="C122" t="str">
        <v>Weis,J., P. Weis, and M. Heber (1982). Variation in Response to Methylmercury by Killifish (Fundulus heteroclitus) Embryos. ASTM Spec. Tech. Publ., 109-119. ECOREF#:11416</v>
      </c>
    </row>
    <row r="123" spans="3:3" x14ac:dyDescent="0.25">
      <c r="C123" t="str">
        <v>Weis,J.S., and A.A. Khan (1990). Effects of Mercury on the Feeding Behavior of the Mummichog, Fundulus heteroclitus from a Polluted Habitat. Mar. Environ. Res., 30, (4), 243-249. doi:10.1016/0141-1136(90)90001-5. ECOREF#:7644</v>
      </c>
    </row>
    <row r="124" spans="3:3" x14ac:dyDescent="0.25">
      <c r="C124" t="str">
        <v>Weis,J.S., and P. Weis (1977). Effects of Heavy Metals on Development of the Killifish, Fundulus heterclitus. J. Fish Biol., 11, (1), 49-54. doi:10.1111/j.1095-8649.1977.tb04097.x. ECOREF#:45298</v>
      </c>
    </row>
    <row r="125" spans="3:3" x14ac:dyDescent="0.25">
      <c r="C125" t="str">
        <v>Weis,J.S., and P. Weis (1984). A Rapid Change in Methylmercury Tolerance in a Population of Killifish, Fundulus heteroclitus, from a Golf Course Pond. Mar. Environ. Res., 13, (3), 231-245. doi:10.1016/0141-1136(84)90031-X. ECOREF#:10627</v>
      </c>
    </row>
    <row r="126" spans="3:3" x14ac:dyDescent="0.25">
      <c r="C126" t="str">
        <v>Weis,J.S., and P. Weis (1995). Effects of Embryonic Exposure to Methylmercury on Larval Prey-Capture Ability in the Mummichog, Fundulus heteroclitus. Environ. Toxicol. Chem., 14, (1), 153-156. ECOREF#:13726</v>
      </c>
    </row>
    <row r="127" spans="3:3" x14ac:dyDescent="0.25">
      <c r="C127" t="str">
        <v>Weis,J.S., M. Renna, and S. Vaidya (1987). Mercury Tolerance in Killifish: A Stage-Specific Phenomenon. In: J.M.Capuzzo and D.R.Kester (Eds.), Oceanic Processes Marine Pollution, Biol.Processes and Wastes in the Ocean, Robert E.Krieger Publ.Co., Malabar, FL, 1, 31-36. ECOREF#:4602</v>
      </c>
    </row>
    <row r="128" spans="3:3" x14ac:dyDescent="0.25">
      <c r="C128" t="str">
        <v>Weis,J.S., P. Weis, and J.L. Ricci (1981). Effects of Cadmium, Zinc, Salinity, and Temperature on the Teratogenicity of Methylmercury to the Killifish (Fundulus heteroclitus). Rapp. P. V. Reun. Comm. Int. Explor. Sci. Mer Mediterr. (Multiple Languages), 178, 64-70. ECOREF#:11419</v>
      </c>
    </row>
    <row r="129" spans="3:3" x14ac:dyDescent="0.25">
      <c r="C129" t="str">
        <v>Weis,J.S., P. Weis, M. Heber, and S. Vaidya (1981). Methylmercury Tolerance of Killifish (Fundulus heteroclitus) Embryos from a Polluted vs Non-Polluted Environment. Mar. Biol. (Multiple Languages), 65, (3), 283-287. doi:10.1007/BF00397123. ECOREF#:4845</v>
      </c>
    </row>
    <row r="130" spans="3:3" x14ac:dyDescent="0.25">
      <c r="C130" t="str">
        <v>Weis,J.S., P. Weis, M. Renna, and S. Vaidya (1985). Search for a Physiological Component of Methylmercury Tolerance in the Mummichog, Fundulus heteroclitus. In: F.J.Vernberg, F.Thurberg, A.Calabrese, and W.B.Vernberg (Eds.), Marine Pollution and Physiology: Recent Advances, Univ.South Carolina Press, Columbia,SC, 309-326. ECOREF#:11418</v>
      </c>
    </row>
    <row r="131" spans="3:3" x14ac:dyDescent="0.25">
      <c r="C131" t="str">
        <v>Weis,P. (1984). Metallothionein and Mercury Tolerance in the Killifish, Fundulus heteroclitus. Mar. Environ. Res., 14, (1-4), 153-166. doi:10.1016/0141-1136(84)90076-X. ECOREF#:11357</v>
      </c>
    </row>
    <row r="132" spans="3:3" x14ac:dyDescent="0.25">
      <c r="C132" t="str">
        <v>Weis,P., and J.S. Weis (1977). Methylmercury Teratogenesis in the Killifish, Fundulus heteroclitus. Teratology, 16, (3), 317-326. doi:10.1002/tera.1420160311. ECOREF#:7712</v>
      </c>
    </row>
    <row r="133" spans="3:3" x14ac:dyDescent="0.25">
      <c r="C133" t="str">
        <v>Weis,P., and J.S. Weis (1980). Effect of Zinc on Fin Regeneration in the Mummichog Fundulus heteroclitus, and its Interaction with Methylmercury. Fish. Bull., 78, (1), 163-166. ECOREF#:9922</v>
      </c>
    </row>
    <row r="134" spans="3:3" x14ac:dyDescent="0.25">
      <c r="C134" t="str">
        <v>Weis,P., and J.S. Weis (1983). Effects of Embryonic Pre-Exposure to Methylmercury and HG2+ on Larval Tolerance in Fundulus heteroclitus. Bull. Environ. Contam. Toxicol., 31(5), 530-534. doi:10.1007/BF01605470. ECOREF#:10136</v>
      </c>
    </row>
    <row r="135" spans="3:3" x14ac:dyDescent="0.25">
      <c r="C135" t="str">
        <v>Zhou,T. (1997). Behavioral Development and Neurobehavioral Effects of Methylmercury on Larval Mummichogs, Fundulus heteroclitus from Polluted and Reference Environments. Ph.D.Thesis, Rutgers, The State University of New Jersey, New Brunswick, NJ, 249 p. ECOREF#:172112</v>
      </c>
    </row>
    <row r="136" spans="3:3" x14ac:dyDescent="0.25">
      <c r="C136" t="str">
        <v>Zhou,T., and J.S. Weis (1998). Swimming Behavior and Predator Avoidance in Three Populations of Fundulus heteroclitus Larvae After Embryonic and/or Larval Exposure to Methylmercury. Aquat. Toxicol., 43, (2/3), 131-148. doi:10.1016/S0166-445X(98)00052-6. ECOREF#:19282</v>
      </c>
    </row>
    <row r="137" spans="3:3" x14ac:dyDescent="0.25">
      <c r="C137" t="str">
        <v>Zhou,T., P. Weis, and J.S. Weis (1998). Mercury Burden in Two Populations of Fundulus heteroclitus After Sublethal Methylmercury Exposure. Aquat. Toxicol., 42, (1), 37-47. doi:10.1016/S0166-445X(97)00101-X. ECOREF#:19151</v>
      </c>
    </row>
    <row r="138" spans="3:3" x14ac:dyDescent="0.25">
      <c r="C138" t="str">
        <v>Zhou,T., R. Scali, P. Weis, and J.S. Weis (1996). Behavioral Effects in Mummichog Larvae (Fundulus heteroclitus) Following Embryonic Exposure to Methylmercury. Mar. Environ. Res., 42, (1-4), 45-49. doi:10.1016/0141-1136(95)00048-8. ECOREF#:18706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ECOTOX Explore Records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Nicola Galloway</dc:creator>
  <cp:lastModifiedBy>Heather Nicola Galloway</cp:lastModifiedBy>
  <dcterms:created xsi:type="dcterms:W3CDTF">2026-08-13T18:50:43Z</dcterms:created>
  <dcterms:modified xsi:type="dcterms:W3CDTF">2026-08-14T20:37:01Z</dcterms:modified>
</cp:coreProperties>
</file>